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defaultThemeVersion="124226"/>
  <mc:AlternateContent xmlns:mc="http://schemas.openxmlformats.org/markup-compatibility/2006">
    <mc:Choice Requires="x15">
      <x15ac:absPath xmlns:x15ac="http://schemas.microsoft.com/office/spreadsheetml/2010/11/ac" url="F:\ing\2023\13551-nieuwe-campagne\2-aangeleverd\"/>
    </mc:Choice>
  </mc:AlternateContent>
  <xr:revisionPtr revIDLastSave="0" documentId="8_{44292A93-7D6C-4CC3-AA7E-6F3FC5A3898D}" xr6:coauthVersionLast="47" xr6:coauthVersionMax="47" xr10:uidLastSave="{00000000-0000-0000-0000-000000000000}"/>
  <bookViews>
    <workbookView xWindow="-120" yWindow="-120" windowWidth="38640" windowHeight="21240" firstSheet="1" activeTab="6" xr2:uid="{00000000-000D-0000-FFFF-FFFF00000000}"/>
  </bookViews>
  <sheets>
    <sheet name="Data" sheetId="31" state="hidden" r:id="rId1"/>
    <sheet name="Specs" sheetId="16" r:id="rId2"/>
    <sheet name="Delivery Best Practice" sheetId="46" r:id="rId3"/>
    <sheet name="Facebook Aspect Ratios" sheetId="28" r:id="rId4"/>
    <sheet name="Google AdTech disclaimer" sheetId="25" r:id="rId5"/>
    <sheet name="DOOH" sheetId="52" r:id="rId6"/>
    <sheet name="DOOH IMPACT" sheetId="53" r:id="rId7"/>
  </sheets>
  <definedNames>
    <definedName name="_xlnm._FilterDatabase" localSheetId="1" hidden="1">Specs!$B$18:$F$18</definedName>
    <definedName name="_xlnm.Print_Area" localSheetId="1">Specs!$A$2:$T$77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16" l="1"/>
  <c r="D43" i="16"/>
  <c r="D42" i="16"/>
  <c r="D36" i="16"/>
  <c r="D30" i="16"/>
  <c r="D29" i="16"/>
  <c r="D28" i="16"/>
  <c r="D27" i="16"/>
  <c r="D33" i="16"/>
  <c r="D26" i="16"/>
  <c r="D25" i="16"/>
  <c r="D38" i="16"/>
  <c r="D32" i="16"/>
  <c r="D52" i="16"/>
  <c r="D51" i="16"/>
  <c r="D49" i="16"/>
  <c r="D48" i="16"/>
  <c r="D47" i="16"/>
  <c r="D46" i="16"/>
  <c r="D35" i="16"/>
  <c r="D24" i="16"/>
  <c r="D23" i="16"/>
  <c r="D21" i="16"/>
  <c r="D20" i="16"/>
</calcChain>
</file>

<file path=xl/sharedStrings.xml><?xml version="1.0" encoding="utf-8"?>
<sst xmlns="http://schemas.openxmlformats.org/spreadsheetml/2006/main" count="573" uniqueCount="250">
  <si>
    <t>Reprise Digital</t>
  </si>
  <si>
    <t>Initiative Media</t>
  </si>
  <si>
    <t>Universal Media</t>
  </si>
  <si>
    <t>THRIVE</t>
  </si>
  <si>
    <t>Standard banner</t>
  </si>
  <si>
    <t>InStream Video</t>
  </si>
  <si>
    <t>YouTube Video URL</t>
  </si>
  <si>
    <t>Rich Media banner</t>
  </si>
  <si>
    <t>Mobile Asset</t>
  </si>
  <si>
    <t>Social Media Asset</t>
  </si>
  <si>
    <t>Native Ad</t>
  </si>
  <si>
    <t>Audio</t>
  </si>
  <si>
    <t>Required</t>
  </si>
  <si>
    <t>Optional</t>
  </si>
  <si>
    <t>No video</t>
  </si>
  <si>
    <t>Autostart</t>
  </si>
  <si>
    <t>User-initiated</t>
  </si>
  <si>
    <t>No sound</t>
  </si>
  <si>
    <t>On click</t>
  </si>
  <si>
    <t>Mouse-over</t>
  </si>
  <si>
    <t>N/A</t>
  </si>
  <si>
    <t>Up</t>
  </si>
  <si>
    <t>Down</t>
  </si>
  <si>
    <t>Left</t>
  </si>
  <si>
    <t>Right</t>
  </si>
  <si>
    <t>Left &amp; Right</t>
  </si>
  <si>
    <t>All directions</t>
  </si>
  <si>
    <t>Yes</t>
  </si>
  <si>
    <t>No</t>
  </si>
  <si>
    <t>Google Campaign Manager</t>
  </si>
  <si>
    <t>Sizmek MDX</t>
  </si>
  <si>
    <t>Rich Media Server</t>
  </si>
  <si>
    <t>Site/Publisher</t>
  </si>
  <si>
    <t>Google</t>
  </si>
  <si>
    <t>AppNexus</t>
  </si>
  <si>
    <t>Weborama</t>
  </si>
  <si>
    <t>GumGum</t>
  </si>
  <si>
    <t>Please deliver with a server-link. E-mail attachments will likely be removed by our spamfilter.</t>
  </si>
  <si>
    <t>DIGITAL SPECIFICATIONS</t>
  </si>
  <si>
    <r>
      <t xml:space="preserve">Please deliver with a clear naming convention: </t>
    </r>
    <r>
      <rPr>
        <b/>
        <i/>
        <sz val="20"/>
        <color theme="1"/>
        <rFont val="Calibri"/>
        <family val="2"/>
        <scheme val="minor"/>
      </rPr>
      <t>Publisher_Creative type_Size_Version</t>
    </r>
  </si>
  <si>
    <t>Media Agency:</t>
  </si>
  <si>
    <r>
      <t>Please commit to the official competitive</t>
    </r>
    <r>
      <rPr>
        <b/>
        <i/>
        <sz val="16"/>
        <color rgb="FFFF0000"/>
        <rFont val="Calibri"/>
        <family val="2"/>
        <scheme val="minor"/>
      </rPr>
      <t xml:space="preserve"> deadlines</t>
    </r>
    <r>
      <rPr>
        <b/>
        <i/>
        <sz val="16"/>
        <rFont val="Calibri"/>
        <family val="2"/>
        <scheme val="minor"/>
      </rPr>
      <t xml:space="preserve"> for creative asset delivery.
Only when delivered correctly and completely (</t>
    </r>
    <r>
      <rPr>
        <b/>
        <i/>
        <sz val="16"/>
        <color rgb="FFFF0000"/>
        <rFont val="Calibri"/>
        <family val="2"/>
        <scheme val="minor"/>
      </rPr>
      <t>including urls</t>
    </r>
    <r>
      <rPr>
        <b/>
        <i/>
        <sz val="16"/>
        <rFont val="Calibri"/>
        <family val="2"/>
        <scheme val="minor"/>
      </rPr>
      <t xml:space="preserve">) conform these </t>
    </r>
    <r>
      <rPr>
        <b/>
        <i/>
        <sz val="16"/>
        <color rgb="FFFF0000"/>
        <rFont val="Calibri"/>
        <family val="2"/>
        <scheme val="minor"/>
      </rPr>
      <t>deadlines</t>
    </r>
    <r>
      <rPr>
        <b/>
        <i/>
        <sz val="16"/>
        <rFont val="Calibri"/>
        <family val="2"/>
        <scheme val="minor"/>
      </rPr>
      <t xml:space="preserve"> we can guarantee launch on the planned start date.</t>
    </r>
  </si>
  <si>
    <t>Campaign Manager:</t>
  </si>
  <si>
    <t>Advertiser:</t>
  </si>
  <si>
    <t>Campaign Name:</t>
  </si>
  <si>
    <t>Campaign Period:</t>
  </si>
  <si>
    <t>Delivery Address:</t>
  </si>
  <si>
    <t>adops-nl@mbww.com</t>
  </si>
  <si>
    <t>CC Delivery</t>
  </si>
  <si>
    <t>Contact:</t>
  </si>
  <si>
    <t>Delivery deadline</t>
  </si>
  <si>
    <t>7 business days before 12:00</t>
  </si>
  <si>
    <t>Site information</t>
  </si>
  <si>
    <t>Data</t>
  </si>
  <si>
    <t>Creatives</t>
  </si>
  <si>
    <t>Details and resources</t>
  </si>
  <si>
    <t>Further remarks / resources</t>
  </si>
  <si>
    <t>Publisher</t>
  </si>
  <si>
    <t>Site / Channel</t>
  </si>
  <si>
    <t>Deadline Delivery before 12:00</t>
  </si>
  <si>
    <t>START date</t>
  </si>
  <si>
    <t>Creative type</t>
  </si>
  <si>
    <t>Size</t>
  </si>
  <si>
    <t>Version</t>
  </si>
  <si>
    <t>Concept / Creative Advice</t>
  </si>
  <si>
    <t>Ad Weight</t>
  </si>
  <si>
    <t>Ad Type</t>
  </si>
  <si>
    <t>Ad Technology</t>
  </si>
  <si>
    <t>Video</t>
  </si>
  <si>
    <t>Sound</t>
  </si>
  <si>
    <t>Animation / looping restrictions</t>
  </si>
  <si>
    <t>Video framerate</t>
  </si>
  <si>
    <t>Ad hosting location / ad server</t>
  </si>
  <si>
    <t>clickTag insertion type</t>
  </si>
  <si>
    <t>Spec details &amp; resources</t>
  </si>
  <si>
    <t>Online Video</t>
  </si>
  <si>
    <t>YouTube</t>
  </si>
  <si>
    <t>InStream TrueView</t>
  </si>
  <si>
    <r>
      <t xml:space="preserve">1920x1080
</t>
    </r>
    <r>
      <rPr>
        <b/>
        <sz val="14"/>
        <color rgb="FFFF0000"/>
        <rFont val="Calibri"/>
        <family val="2"/>
        <scheme val="minor"/>
      </rPr>
      <t>please deliver a YouTube URL!</t>
    </r>
  </si>
  <si>
    <t>-</t>
  </si>
  <si>
    <t>URL to video</t>
  </si>
  <si>
    <t>24 to 30 fps</t>
  </si>
  <si>
    <t>https://support.google.com/displayspecs/answer/6055025?hl=nl</t>
  </si>
  <si>
    <t>Please make sure the video is uploaded to the advertiser's YouTube channel. We can only proceed with a video link - not with MP4!</t>
  </si>
  <si>
    <t>1920x1080</t>
  </si>
  <si>
    <t>max 100 MB</t>
  </si>
  <si>
    <t>MP4</t>
  </si>
  <si>
    <t>Matterkind</t>
  </si>
  <si>
    <t>PreRoll</t>
  </si>
  <si>
    <t>max. 30 sec.</t>
  </si>
  <si>
    <t>Display</t>
  </si>
  <si>
    <t>Run of Network</t>
  </si>
  <si>
    <t>max 300 kb</t>
  </si>
  <si>
    <t>HTML5 + backup image (PNG/JPG/GIF)</t>
  </si>
  <si>
    <t>max 30 sec + max 3 x loop</t>
  </si>
  <si>
    <t>Per creative size a delivery in ZIP with a separate static image PNG (max. 100 assets. Supported file types: HTML, HTM, JS, CSS, JPG, JPEG, GIF, PNG, JSON, XML, and SVG)</t>
  </si>
  <si>
    <t>Please add border / 1 pixel | Please read the Google AdTech disclaimer before building your HTML assets.</t>
  </si>
  <si>
    <t>MediumRectangle</t>
  </si>
  <si>
    <t>300x250</t>
  </si>
  <si>
    <t>LargeRectangle</t>
  </si>
  <si>
    <t>336x280</t>
  </si>
  <si>
    <t>PNG/JPG + Text</t>
  </si>
  <si>
    <t>Display Hi-impact</t>
  </si>
  <si>
    <t>Billboard</t>
  </si>
  <si>
    <t>970x250</t>
  </si>
  <si>
    <t>HalfpageAd</t>
  </si>
  <si>
    <t>300x600</t>
  </si>
  <si>
    <r>
      <t xml:space="preserve">Desktop Skin
</t>
    </r>
    <r>
      <rPr>
        <b/>
        <sz val="14"/>
        <color rgb="FFFF0000"/>
        <rFont val="Calibri"/>
        <family val="2"/>
        <scheme val="minor"/>
      </rPr>
      <t>GumGum</t>
    </r>
    <r>
      <rPr>
        <b/>
        <sz val="14"/>
        <color rgb="FFFF3300"/>
        <rFont val="Calibri"/>
        <family val="2"/>
        <scheme val="minor"/>
      </rPr>
      <t xml:space="preserve"> template required!</t>
    </r>
  </si>
  <si>
    <t xml:space="preserve">
Responsive Rich Media
</t>
  </si>
  <si>
    <r>
      <rPr>
        <b/>
        <u/>
        <sz val="14"/>
        <rFont val="Calibri"/>
        <family val="2"/>
        <scheme val="minor"/>
      </rPr>
      <t>Demo:</t>
    </r>
    <r>
      <rPr>
        <sz val="14"/>
        <rFont val="Calibri"/>
        <family val="2"/>
        <scheme val="minor"/>
      </rPr>
      <t xml:space="preserve">
https://demo.partners.gumgum.com/sites/desktop.html?ad=creative_wp_53&amp;type=wp&amp;title=BBC%20-%20Skin
</t>
    </r>
    <r>
      <rPr>
        <b/>
        <sz val="14"/>
        <rFont val="Calibri"/>
        <family val="2"/>
        <scheme val="minor"/>
      </rPr>
      <t>Download this deck for best practices:</t>
    </r>
    <r>
      <rPr>
        <sz val="14"/>
        <rFont val="Calibri"/>
        <family val="2"/>
        <scheme val="minor"/>
      </rPr>
      <t xml:space="preserve">
https://drive.google.com/file/d/1MAQdYAk2Y35DMYhm4nSJKQHzUxoiTgxk/view
</t>
    </r>
  </si>
  <si>
    <t>max initial load
3,5 MB</t>
  </si>
  <si>
    <t>https://docs.partners.gumgum.com/specs/formats/desktop-skin</t>
  </si>
  <si>
    <t>1080x1080</t>
  </si>
  <si>
    <r>
      <t xml:space="preserve">Mobile Skin
</t>
    </r>
    <r>
      <rPr>
        <b/>
        <sz val="14"/>
        <color rgb="FFFF0000"/>
        <rFont val="Calibri"/>
        <family val="2"/>
        <scheme val="minor"/>
      </rPr>
      <t>GumGum template required!</t>
    </r>
  </si>
  <si>
    <r>
      <rPr>
        <b/>
        <u/>
        <sz val="14"/>
        <rFont val="Calibri"/>
        <family val="2"/>
        <scheme val="minor"/>
      </rPr>
      <t>Demo:</t>
    </r>
    <r>
      <rPr>
        <sz val="14"/>
        <rFont val="Calibri"/>
        <family val="2"/>
        <scheme val="minor"/>
      </rPr>
      <t xml:space="preserve">
https://demo.partners.gumgum.com/sites/mobile-skin.html?url=./content/nike-lab-mt/&amp;bgurl=./images/backgrounds/nike-lab-mt.jpg&amp;title=Nike%20-%20Mobile%20Skin
</t>
    </r>
    <r>
      <rPr>
        <b/>
        <sz val="14"/>
        <rFont val="Calibri"/>
        <family val="2"/>
        <scheme val="minor"/>
      </rPr>
      <t>Download this deck for best practices:</t>
    </r>
    <r>
      <rPr>
        <sz val="14"/>
        <rFont val="Calibri"/>
        <family val="2"/>
        <scheme val="minor"/>
      </rPr>
      <t xml:space="preserve">
https://drive.google.com/file/d/1MAQdYAk2Y35DMYhm4nSJKQHzUxoiTgxk/view
</t>
    </r>
  </si>
  <si>
    <t>max initial load
2,5 MB</t>
  </si>
  <si>
    <t>https://docs.partners.gumgum.com/specs/formats/mobile-skin</t>
  </si>
  <si>
    <t>Native</t>
  </si>
  <si>
    <t>DV360</t>
  </si>
  <si>
    <t xml:space="preserve">Native DV360 image
</t>
  </si>
  <si>
    <t>1200x627</t>
  </si>
  <si>
    <t>max 1200 kb</t>
  </si>
  <si>
    <r>
      <rPr>
        <b/>
        <sz val="14"/>
        <rFont val="Calibri"/>
        <family val="2"/>
        <scheme val="minor"/>
      </rPr>
      <t>Please deliver copy in a Word document or PDF</t>
    </r>
    <r>
      <rPr>
        <sz val="14"/>
        <rFont val="Calibri"/>
        <family val="2"/>
        <scheme val="minor"/>
      </rPr>
      <t xml:space="preserve">
1 Advertisername - (25 characters max. including punctuation and spaces)
1 logo (100x100px, jpg/png, max 1200 kb)
1 image (1200x627px, jpg/png, max 1200 kb) 
Optional 1 square image (627x627px, jpg/png, max 1200 kb)
1 headline - (25 characters max. including punctuation and spaces)
1 bodyText - (90 characters max. including punctuation and spaces)
1  caption url - (30 characters max. including punctuation and spaces)
1 call to action - (15 characters max. including punctuation and spaces)
Guidelines: https://support.google.com/bidmanager/answer/7128458/</t>
    </r>
  </si>
  <si>
    <t>max 200 MB</t>
  </si>
  <si>
    <t>JPG/(static)GIF/PNG + TXT</t>
  </si>
  <si>
    <t>Digital Out of Home</t>
  </si>
  <si>
    <t>1080x1920</t>
  </si>
  <si>
    <t>See tab DOOH for best practice</t>
  </si>
  <si>
    <t>MP4 + JPG/PNG</t>
  </si>
  <si>
    <t>Social</t>
  </si>
  <si>
    <r>
      <t xml:space="preserve">Please test your creatives before sending in the Facebook Creative Hub: </t>
    </r>
    <r>
      <rPr>
        <b/>
        <sz val="20"/>
        <color rgb="FF0070C0"/>
        <rFont val="Calibri"/>
        <family val="2"/>
        <scheme val="minor"/>
      </rPr>
      <t>https://www.facebook.com/ads/creativehub/home/</t>
    </r>
  </si>
  <si>
    <t>Facebook / Instagram</t>
  </si>
  <si>
    <t>Facebook</t>
  </si>
  <si>
    <t>Facebook
Instagram
FEED</t>
  </si>
  <si>
    <t>Video Link Ad</t>
  </si>
  <si>
    <t>max 4 GB</t>
  </si>
  <si>
    <t>MP4 + JPG + TXT</t>
  </si>
  <si>
    <t>Advice max 15 sec</t>
  </si>
  <si>
    <t>https://www.facebook.com/business/ads-guide?tab0=Nieuwsoverzicht%20op%20mobiele%20apparaten
Please always check a mock-up / preview of your ad on mobile to make sure no text is being aborted.
When using voice-over please embed subtitles. (no SRT)</t>
  </si>
  <si>
    <t>Facebook
Instagram
STORIES</t>
  </si>
  <si>
    <t>Stories (video)</t>
  </si>
  <si>
    <t>image: max 30 MB
video: max 4 GB</t>
  </si>
  <si>
    <t>MP4 or JPG</t>
  </si>
  <si>
    <t>Recommended to not use more than 20% text
Please deliver a static start-card without text in JPG, GIF or PNG
Consider leaving roughly 14% (250 pixels) of the top and 20% (340 pixels) of the bottom of the image free from text, logos, or other key creative elements to avoid covering them with the profile icon or call-to-action.</t>
  </si>
  <si>
    <t>https://www.facebook.com/business/ads-guide/image/instagram-feed
https://www.facebook.com/business/ads-guide/video/instagram-story
When using voice-over please embed subtitles. (no SRT)</t>
  </si>
  <si>
    <t>Stories (static)</t>
  </si>
  <si>
    <t xml:space="preserve">image: max 30 MB
</t>
  </si>
  <si>
    <t xml:space="preserve"> JPG</t>
  </si>
  <si>
    <t>Recommended to not use more than 20% text
Consider leaving roughly 14% (250 pixels) of the top and 20% (340 pixels) of the bottom of the image free from text, logos, or other key creative elements to avoid covering them with the profile icon or call-to-action.</t>
  </si>
  <si>
    <t xml:space="preserve">https://www.facebook.com/business/ads-guide/image/instagram-feed
</t>
  </si>
  <si>
    <t>Link Ad</t>
  </si>
  <si>
    <t>1080x1080 (1:1)</t>
  </si>
  <si>
    <t>max 30 MB</t>
  </si>
  <si>
    <t>JPG + TXT</t>
  </si>
  <si>
    <t>https://www.facebook.com/business/ads-guide/image
https://www.facebook.com/business/ads-guide/image/instagram-feed
Recommended to not use more than 20% text in image
Please always check a mock-up / preview of your ad on mobile to make sure no text is being aborted.</t>
  </si>
  <si>
    <t>LinkedIn</t>
  </si>
  <si>
    <t>LinkSharing (image)</t>
  </si>
  <si>
    <t>max 2 MB</t>
  </si>
  <si>
    <r>
      <rPr>
        <b/>
        <sz val="14"/>
        <rFont val="Calibri"/>
        <family val="2"/>
        <scheme val="minor"/>
      </rPr>
      <t>Please deliver copy in a Word document or PDF</t>
    </r>
    <r>
      <rPr>
        <sz val="14"/>
        <rFont val="Calibri"/>
        <family val="2"/>
        <scheme val="minor"/>
      </rPr>
      <t xml:space="preserve">
Introductory Text: 150 characters or less, including the landing page URL
Headline: 70 characters or less
Description: 100 characters or less</t>
    </r>
  </si>
  <si>
    <t>https://www.linkedin.com/help/linkedin/answer/68894/advertising-specifications-for-sponsored-content?lang=en</t>
  </si>
  <si>
    <t>MP4 + JPG + TXT + MP4</t>
  </si>
  <si>
    <t>3 sec tot 30 min.</t>
  </si>
  <si>
    <r>
      <rPr>
        <b/>
        <sz val="14"/>
        <rFont val="Calibri"/>
        <family val="2"/>
        <scheme val="minor"/>
      </rPr>
      <t>Please deliver copy in a Word document or PDF</t>
    </r>
    <r>
      <rPr>
        <sz val="14"/>
        <rFont val="Calibri"/>
        <family val="2"/>
        <scheme val="minor"/>
      </rPr>
      <t xml:space="preserve">
Introductory Text: 150 characters or less, including the landing page URL
Title: 70 characters or less</t>
    </r>
  </si>
  <si>
    <t>When using voice-over please embed subtitles. (no SRT)</t>
  </si>
  <si>
    <t>Twitter</t>
  </si>
  <si>
    <t>Branddeli</t>
  </si>
  <si>
    <t>https://business.twitter.com/en/help/campaign-setup/advertiser-card-specifications.html</t>
  </si>
  <si>
    <t>WebsiteCard</t>
  </si>
  <si>
    <t>max 3 MB</t>
  </si>
  <si>
    <t>PNG/JPEG + TXT</t>
  </si>
  <si>
    <r>
      <rPr>
        <b/>
        <sz val="14"/>
        <rFont val="Calibri"/>
        <family val="2"/>
        <scheme val="minor"/>
      </rPr>
      <t>Please deliver copy in a Word document or PDF
Tweet copy</t>
    </r>
    <r>
      <rPr>
        <sz val="14"/>
        <rFont val="Calibri"/>
        <family val="2"/>
        <scheme val="minor"/>
      </rPr>
      <t xml:space="preserve">: 280 characters are available (24 characters are used for images).
</t>
    </r>
    <r>
      <rPr>
        <b/>
        <sz val="14"/>
        <rFont val="Calibri"/>
        <family val="2"/>
        <scheme val="minor"/>
      </rPr>
      <t>Website title length</t>
    </r>
    <r>
      <rPr>
        <sz val="14"/>
        <rFont val="Calibri"/>
        <family val="2"/>
        <scheme val="minor"/>
      </rPr>
      <t>: 70 characters. Please note — depending on device and app settings this description may truncate. Although not guaranteed, limiting the description to 50 characters should ensure that truncation won’t occur across most devices.</t>
    </r>
  </si>
  <si>
    <t>VideoWebsiteCard</t>
  </si>
  <si>
    <t>video: max 1 GB
thumbnail: max 5 MB</t>
  </si>
  <si>
    <t>MP4/MOV + TXT + PNG/JPEG</t>
  </si>
  <si>
    <t>max. 15 sec. recommended</t>
  </si>
  <si>
    <t>29.97 or 30 fps</t>
  </si>
  <si>
    <r>
      <rPr>
        <b/>
        <sz val="14"/>
        <rFont val="Calibri"/>
        <family val="2"/>
        <scheme val="minor"/>
      </rPr>
      <t>Please deliver copy in a Word document or PDF
Tweet copy</t>
    </r>
    <r>
      <rPr>
        <sz val="14"/>
        <rFont val="Calibri"/>
        <family val="2"/>
        <scheme val="minor"/>
      </rPr>
      <t xml:space="preserve">: 280 characters
</t>
    </r>
    <r>
      <rPr>
        <b/>
        <sz val="14"/>
        <rFont val="Calibri"/>
        <family val="2"/>
        <scheme val="minor"/>
      </rPr>
      <t>Headline (under video)</t>
    </r>
    <r>
      <rPr>
        <sz val="14"/>
        <rFont val="Calibri"/>
        <family val="2"/>
        <scheme val="minor"/>
      </rPr>
      <t xml:space="preserve">: 70 characters (&lt; 50 recommended)
</t>
    </r>
    <r>
      <rPr>
        <b/>
        <sz val="14"/>
        <rFont val="Calibri"/>
        <family val="2"/>
        <scheme val="minor"/>
      </rPr>
      <t>Video Codec</t>
    </r>
    <r>
      <rPr>
        <sz val="14"/>
        <rFont val="Calibri"/>
        <family val="2"/>
        <scheme val="minor"/>
      </rPr>
      <t xml:space="preserve">: H264, baseline, 4:2:0 color space
</t>
    </r>
    <r>
      <rPr>
        <b/>
        <sz val="14"/>
        <rFont val="Calibri"/>
        <family val="2"/>
        <scheme val="minor"/>
      </rPr>
      <t>Frame rate</t>
    </r>
    <r>
      <rPr>
        <sz val="14"/>
        <rFont val="Calibri"/>
        <family val="2"/>
        <scheme val="minor"/>
      </rPr>
      <t xml:space="preserve">: 29.97FPS or 30FPS
</t>
    </r>
    <r>
      <rPr>
        <b/>
        <sz val="14"/>
        <rFont val="Calibri"/>
        <family val="2"/>
        <scheme val="minor"/>
      </rPr>
      <t>Video bitrate recommendation:</t>
    </r>
    <r>
      <rPr>
        <sz val="14"/>
        <rFont val="Calibri"/>
        <family val="2"/>
        <scheme val="minor"/>
      </rPr>
      <t xml:space="preserve">
6,000K - 10,000K for 1080P
5,000K - 8,000K for 720P</t>
    </r>
  </si>
  <si>
    <t xml:space="preserve">https://business.twitter.com/en/help/campaign-setup/advertiser-card-specifications.html 
When using voice-over please embed subtitles. (no SRT)
</t>
  </si>
  <si>
    <t xml:space="preserve">No rights can be derived from this adspecs template. </t>
  </si>
  <si>
    <r>
      <t xml:space="preserve">This adspecs sheet functions as a </t>
    </r>
    <r>
      <rPr>
        <u/>
        <sz val="14"/>
        <rFont val="Calibri"/>
        <family val="2"/>
        <scheme val="minor"/>
      </rPr>
      <t>technical</t>
    </r>
    <r>
      <rPr>
        <sz val="14"/>
        <rFont val="Calibri"/>
        <family val="2"/>
        <scheme val="minor"/>
      </rPr>
      <t xml:space="preserve"> instruction and not as a </t>
    </r>
    <r>
      <rPr>
        <u/>
        <sz val="14"/>
        <rFont val="Calibri"/>
        <family val="2"/>
        <scheme val="minor"/>
      </rPr>
      <t>creative</t>
    </r>
    <r>
      <rPr>
        <sz val="14"/>
        <rFont val="Calibri"/>
        <family val="2"/>
        <scheme val="minor"/>
      </rPr>
      <t xml:space="preserve"> instruction. For questions concerning the actual content or message, please contact the advertiser/client.</t>
    </r>
  </si>
  <si>
    <t>Creative advice is featured only in case we received a proper creative instruction from the advertiser/client before production starts.</t>
  </si>
  <si>
    <r>
      <rPr>
        <b/>
        <sz val="16"/>
        <rFont val="Tahoma"/>
        <family val="2"/>
      </rPr>
      <t xml:space="preserve">Ad technology providers
</t>
    </r>
    <r>
      <rPr>
        <sz val="10"/>
        <rFont val="Arial"/>
        <family val="2"/>
      </rPr>
      <t xml:space="preserve">
</t>
    </r>
    <r>
      <rPr>
        <sz val="12"/>
        <rFont val="Tahoma"/>
        <family val="2"/>
      </rPr>
      <t xml:space="preserve">As part of Google’s commitment to complying with the General Data Protection Regulation (GDPR), we provide publishers with controls to select which ad technology providers are allowed to serve and measure ads in the European Economic Area (EEA), to support ad delivery, ad measurement, and other functions. All providers listed have shared certain information that is required by the GDPR, a link explaining their data usage that you can share with your users as part of your consent flow, and they have agreed to comply with our data usage policy.
We encourage you to use these controls to select your preferred list of ad technology providers to work with, and which ones are right for you. We built controls for you to choose the ad tech providers you work with so you are in control of the activity on your site. If you don’t engage with the controls, the commonly used set of ad technology providers indicated will serve starting on May 25. The commonly used set comprises the ad technology providers representing the most revenue to publishers from EEA users from all programmatic demand sources.
Our EU User Consent Policy requires that you clearly identify each party with whom data will be shared. So whether you use a custom set of ad technology providers or use the commonly used set, you will need to list these providers for your users.
You can view these controls and the list of ad technology providers in your DFP, AdSense, or AdMob account. For convenience, we have also listed the certified providers below. Any ad technology provider with an asterisk is part of the commonly used list. 
Visit </t>
    </r>
    <r>
      <rPr>
        <b/>
        <sz val="12"/>
        <color rgb="FF00B0F0"/>
        <rFont val="Tahoma"/>
        <family val="2"/>
      </rPr>
      <t>https://support.google.com/dfp_premium/answer/9012903</t>
    </r>
    <r>
      <rPr>
        <sz val="12"/>
        <rFont val="Tahoma"/>
        <family val="2"/>
      </rPr>
      <t xml:space="preserve"> for the list of techonology providers.</t>
    </r>
  </si>
  <si>
    <t>Please contact nino.bavelaar@gumgum.com, emea_studio@gumgum.com, adelina.iacob@gumgum.com
for support and delivery</t>
  </si>
  <si>
    <r>
      <rPr>
        <b/>
        <sz val="14"/>
        <rFont val="Calibri"/>
        <family val="2"/>
        <scheme val="minor"/>
      </rPr>
      <t>Please deliver copy in a Word document or PDF</t>
    </r>
    <r>
      <rPr>
        <sz val="14"/>
        <rFont val="Calibri"/>
        <family val="2"/>
        <scheme val="minor"/>
      </rPr>
      <t xml:space="preserve">
Text: max 125 characters (incl. spaces) 
Header: 27 characters (incl. spaces)
Link Description: 27 characters (incl. spaces)
Recommended to deliver a static start-card with max 20%  text in JPG, GIF or PNG
</t>
    </r>
  </si>
  <si>
    <r>
      <rPr>
        <b/>
        <sz val="14"/>
        <rFont val="Calibri"/>
        <family val="2"/>
        <scheme val="minor"/>
      </rPr>
      <t>Please deliver copy in a Word document or PDF</t>
    </r>
    <r>
      <rPr>
        <sz val="14"/>
        <rFont val="Calibri"/>
        <family val="2"/>
        <scheme val="minor"/>
      </rPr>
      <t xml:space="preserve">
</t>
    </r>
    <r>
      <rPr>
        <i/>
        <u/>
        <sz val="14"/>
        <rFont val="Calibri"/>
        <family val="2"/>
        <scheme val="minor"/>
      </rPr>
      <t>Facebook and Instagram:</t>
    </r>
    <r>
      <rPr>
        <sz val="14"/>
        <rFont val="Calibri"/>
        <family val="2"/>
        <scheme val="minor"/>
      </rPr>
      <t xml:space="preserve">
Text: max 125 characters (incl. spaces) 
Header: 27 characters (incl. spaces)
Link Description: 27 characters (incl. spaces)
</t>
    </r>
    <r>
      <rPr>
        <i/>
        <u/>
        <sz val="14"/>
        <rFont val="Calibri"/>
        <family val="2"/>
        <scheme val="minor"/>
      </rPr>
      <t>Instagram only:</t>
    </r>
    <r>
      <rPr>
        <sz val="14"/>
        <rFont val="Calibri"/>
        <family val="2"/>
        <scheme val="minor"/>
      </rPr>
      <t xml:space="preserve">
Text: max 125 characters (incl. spaces)
Hashtags in Text: max 30</t>
    </r>
  </si>
  <si>
    <t>85657 | ING AMC EB Campagne Q3 2023</t>
  </si>
  <si>
    <t>kirsten.berendsen@initiative.com</t>
  </si>
  <si>
    <t>gerwin.van.engelenburg@mbww.com</t>
  </si>
  <si>
    <t>ING</t>
  </si>
  <si>
    <t>11-9 t/m 19-11</t>
  </si>
  <si>
    <t>Matterkinad</t>
  </si>
  <si>
    <t>30s</t>
  </si>
  <si>
    <t>see</t>
  </si>
  <si>
    <t>instream</t>
  </si>
  <si>
    <t>see/think passive</t>
  </si>
  <si>
    <t>see/think passive (max 1 version</t>
  </si>
  <si>
    <t>think active</t>
  </si>
  <si>
    <t>DPG/Adalliance/Mediahuis</t>
  </si>
  <si>
    <t>Programmatic Out of Home (digital abri)</t>
  </si>
  <si>
    <t>Facebook/Instagram social media post (link) via social consultant</t>
  </si>
  <si>
    <t xml:space="preserve">Extra social - extension
</t>
  </si>
  <si>
    <t>Linksharing (video)</t>
  </si>
  <si>
    <t>think active /do</t>
  </si>
  <si>
    <t xml:space="preserve"> 1200x1200 (1:1) - 
optioneel1920x1080 (16:9)</t>
  </si>
  <si>
    <t xml:space="preserve"> 1200x1200 (1:1) - 
optioneel 1920x1080 (16:9)</t>
  </si>
  <si>
    <t>High impact</t>
  </si>
  <si>
    <t>1080x1920 (9:16)
no text bottom (20% safemargin)</t>
  </si>
  <si>
    <t>multiple size</t>
  </si>
  <si>
    <t>Formaten Digital Abri - Video</t>
  </si>
  <si>
    <t>Adsize</t>
  </si>
  <si>
    <t>Type</t>
  </si>
  <si>
    <t>Duration</t>
  </si>
  <si>
    <t>Motion</t>
  </si>
  <si>
    <t>Max. filesize (MB)</t>
  </si>
  <si>
    <t>Allowed fileformat(s)</t>
  </si>
  <si>
    <t>Publisher(s)</t>
  </si>
  <si>
    <t># screens</t>
  </si>
  <si>
    <t>ING - Employer Branding</t>
  </si>
  <si>
    <t>video</t>
  </si>
  <si>
    <t>full</t>
  </si>
  <si>
    <t>CS Digital, Global Netherlands</t>
  </si>
  <si>
    <t>Focus: OV screens</t>
  </si>
  <si>
    <t>static</t>
  </si>
  <si>
    <t>2.5</t>
  </si>
  <si>
    <t>JPG/PNG</t>
  </si>
  <si>
    <t>Focus: Landelijk</t>
  </si>
  <si>
    <t>Formaten High Impact - Video</t>
  </si>
  <si>
    <t>1056x576</t>
  </si>
  <si>
    <t>CS Digital</t>
  </si>
  <si>
    <t>1152x640</t>
  </si>
  <si>
    <t>1152x672</t>
  </si>
  <si>
    <t>1280x720</t>
  </si>
  <si>
    <t>1344x768</t>
  </si>
  <si>
    <t>Ocean Outdoor Netherlands</t>
  </si>
  <si>
    <t>1536x512</t>
  </si>
  <si>
    <t>1792x960</t>
  </si>
  <si>
    <t>1920x540</t>
  </si>
  <si>
    <t>Global Netherlands</t>
  </si>
  <si>
    <t>3240x1920</t>
  </si>
  <si>
    <t>576x336</t>
  </si>
  <si>
    <t>640x1152</t>
  </si>
  <si>
    <t>672x384</t>
  </si>
  <si>
    <t>768x384</t>
  </si>
  <si>
    <t>992x544</t>
  </si>
  <si>
    <t>Duration (exact sec)</t>
  </si>
  <si>
    <t>See DOOH Impact</t>
  </si>
  <si>
    <t>10s exact</t>
  </si>
  <si>
    <t>image: max 2,5 MB
video: max 25 MB</t>
  </si>
  <si>
    <t>Max loudness -23 LUFS (R128 norm = tv mix) - 30s (15,6s mits beschikbaar)</t>
  </si>
  <si>
    <t xml:space="preserve">1080x1080 (1:1)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</si>
</sst>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3]d/mmm/yy;@"/>
  </numFmts>
  <fonts count="44">
    <font>
      <sz val="10"/>
      <name val="Arial"/>
    </font>
    <font>
      <sz val="11"/>
      <color theme="1"/>
      <name val="Calibri"/>
      <family val="2"/>
      <scheme val="minor"/>
    </font>
    <font>
      <sz val="10"/>
      <name val="HelveticaNeue Condensed"/>
    </font>
    <font>
      <u/>
      <sz val="10"/>
      <color theme="10"/>
      <name val="Arial"/>
      <family val="2"/>
    </font>
    <font>
      <b/>
      <sz val="14"/>
      <color theme="0"/>
      <name val="Calibri"/>
      <family val="2"/>
      <scheme val="minor"/>
    </font>
    <font>
      <sz val="14"/>
      <color theme="1"/>
      <name val="Calibri"/>
      <family val="2"/>
      <scheme val="minor"/>
    </font>
    <font>
      <sz val="10"/>
      <name val="Arial"/>
      <family val="2"/>
    </font>
    <font>
      <sz val="14"/>
      <name val="Calibri"/>
      <family val="2"/>
      <scheme val="minor"/>
    </font>
    <font>
      <b/>
      <sz val="14"/>
      <color rgb="FFFF0000"/>
      <name val="Calibri"/>
      <family val="2"/>
      <scheme val="minor"/>
    </font>
    <font>
      <b/>
      <sz val="14"/>
      <color indexed="56"/>
      <name val="Calibri"/>
      <family val="2"/>
      <scheme val="minor"/>
    </font>
    <font>
      <b/>
      <sz val="14"/>
      <name val="Calibri"/>
      <family val="2"/>
      <scheme val="minor"/>
    </font>
    <font>
      <b/>
      <sz val="14"/>
      <color indexed="9"/>
      <name val="Calibri"/>
      <family val="2"/>
      <scheme val="minor"/>
    </font>
    <font>
      <u/>
      <sz val="14"/>
      <color theme="10"/>
      <name val="Calibri"/>
      <family val="2"/>
      <scheme val="minor"/>
    </font>
    <font>
      <sz val="14"/>
      <color rgb="FF1F497D"/>
      <name val="Calibri"/>
      <family val="2"/>
      <scheme val="minor"/>
    </font>
    <font>
      <b/>
      <sz val="14"/>
      <color rgb="FF000000"/>
      <name val="Calibri"/>
      <family val="2"/>
      <scheme val="minor"/>
    </font>
    <font>
      <sz val="14"/>
      <color rgb="FF000000"/>
      <name val="Calibri"/>
      <family val="2"/>
      <scheme val="minor"/>
    </font>
    <font>
      <i/>
      <sz val="14"/>
      <color rgb="FF222222"/>
      <name val="Calibri"/>
      <family val="2"/>
      <scheme val="minor"/>
    </font>
    <font>
      <b/>
      <sz val="14"/>
      <color rgb="FFFFFF00"/>
      <name val="Calibri"/>
      <family val="2"/>
      <scheme val="minor"/>
    </font>
    <font>
      <sz val="14"/>
      <color rgb="FFFFFF00"/>
      <name val="Calibri"/>
      <family val="2"/>
      <scheme val="minor"/>
    </font>
    <font>
      <b/>
      <u/>
      <sz val="16"/>
      <color rgb="FFC00000"/>
      <name val="Calibri"/>
      <family val="2"/>
      <scheme val="minor"/>
    </font>
    <font>
      <b/>
      <sz val="16"/>
      <name val="Tahoma"/>
      <family val="2"/>
    </font>
    <font>
      <sz val="12"/>
      <name val="Tahoma"/>
      <family val="2"/>
    </font>
    <font>
      <b/>
      <sz val="12"/>
      <color rgb="FF00B0F0"/>
      <name val="Tahoma"/>
      <family val="2"/>
    </font>
    <font>
      <b/>
      <sz val="16"/>
      <name val="Calibri"/>
      <family val="2"/>
      <scheme val="minor"/>
    </font>
    <font>
      <b/>
      <sz val="14"/>
      <color rgb="FF1F497D"/>
      <name val="Calibri"/>
      <family val="2"/>
      <scheme val="minor"/>
    </font>
    <font>
      <b/>
      <sz val="20"/>
      <color rgb="FFC00000"/>
      <name val="Calibri"/>
      <family val="2"/>
      <scheme val="minor"/>
    </font>
    <font>
      <b/>
      <i/>
      <sz val="20"/>
      <color theme="1"/>
      <name val="Calibri"/>
      <family val="2"/>
      <scheme val="minor"/>
    </font>
    <font>
      <i/>
      <u/>
      <sz val="14"/>
      <name val="Calibri"/>
      <family val="2"/>
      <scheme val="minor"/>
    </font>
    <font>
      <u/>
      <sz val="14"/>
      <name val="Calibri"/>
      <family val="2"/>
      <scheme val="minor"/>
    </font>
    <font>
      <b/>
      <i/>
      <sz val="16"/>
      <name val="Calibri"/>
      <family val="2"/>
      <scheme val="minor"/>
    </font>
    <font>
      <b/>
      <u/>
      <sz val="14"/>
      <name val="Calibri"/>
      <family val="2"/>
      <scheme val="minor"/>
    </font>
    <font>
      <b/>
      <sz val="30"/>
      <color theme="0"/>
      <name val="Calibri"/>
      <family val="2"/>
      <scheme val="minor"/>
    </font>
    <font>
      <sz val="20"/>
      <name val="Calibri"/>
      <family val="2"/>
      <scheme val="minor"/>
    </font>
    <font>
      <b/>
      <sz val="20"/>
      <name val="Calibri"/>
      <family val="2"/>
      <scheme val="minor"/>
    </font>
    <font>
      <b/>
      <sz val="20"/>
      <color rgb="FF0070C0"/>
      <name val="Calibri"/>
      <family val="2"/>
      <scheme val="minor"/>
    </font>
    <font>
      <b/>
      <sz val="14"/>
      <color rgb="FFC00000"/>
      <name val="Calibri"/>
      <family val="2"/>
      <scheme val="minor"/>
    </font>
    <font>
      <b/>
      <sz val="14"/>
      <color rgb="FFFF3300"/>
      <name val="Calibri"/>
      <family val="2"/>
      <scheme val="minor"/>
    </font>
    <font>
      <b/>
      <u/>
      <sz val="30"/>
      <color rgb="FFFFFF00"/>
      <name val="Calibri"/>
      <family val="2"/>
      <scheme val="minor"/>
    </font>
    <font>
      <sz val="8"/>
      <name val="Arial"/>
      <family val="2"/>
    </font>
    <font>
      <b/>
      <i/>
      <sz val="16"/>
      <color rgb="FFFF0000"/>
      <name val="Calibri"/>
      <family val="2"/>
      <scheme val="minor"/>
    </font>
    <font>
      <sz val="30"/>
      <color rgb="FFFF0000"/>
      <name val="Calibri"/>
      <family val="2"/>
      <scheme val="minor"/>
    </font>
    <font>
      <u/>
      <sz val="14"/>
      <color theme="10"/>
      <name val="Arial"/>
      <family val="2"/>
    </font>
    <font>
      <sz val="14"/>
      <color rgb="FFFF0000"/>
      <name val="Calibri"/>
      <family val="2"/>
      <scheme val="minor"/>
    </font>
    <font>
      <b/>
      <sz val="10"/>
      <name val="Arial"/>
      <family val="2"/>
    </font>
  </fonts>
  <fills count="9">
    <fill>
      <patternFill patternType="none"/>
    </fill>
    <fill>
      <patternFill patternType="gray125"/>
    </fill>
    <fill>
      <gradientFill degree="90">
        <stop position="0">
          <color theme="0" tint="-0.25098422193060094"/>
        </stop>
        <stop position="1">
          <color theme="0" tint="-0.34900967436750391"/>
        </stop>
      </gradient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diagonal/>
    </border>
    <border>
      <left/>
      <right style="medium">
        <color rgb="FF00B050"/>
      </right>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5">
    <xf numFmtId="0" fontId="0" fillId="0" borderId="0"/>
    <xf numFmtId="0" fontId="3" fillId="0" borderId="0" applyNumberFormat="0" applyFill="0" applyBorder="0" applyAlignment="0" applyProtection="0">
      <alignment vertical="top"/>
      <protection locked="0"/>
    </xf>
    <xf numFmtId="0" fontId="2" fillId="0" borderId="0"/>
    <xf numFmtId="0" fontId="6" fillId="0" borderId="0"/>
    <xf numFmtId="0" fontId="1" fillId="0" borderId="0"/>
  </cellStyleXfs>
  <cellXfs count="160">
    <xf numFmtId="0" fontId="0" fillId="0" borderId="0" xfId="0"/>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7" fillId="0" borderId="1" xfId="0" applyFont="1" applyBorder="1" applyAlignment="1">
      <alignment vertical="center"/>
    </xf>
    <xf numFmtId="0" fontId="7" fillId="0" borderId="0" xfId="0" applyFont="1"/>
    <xf numFmtId="0" fontId="7" fillId="0" borderId="0" xfId="0" applyFont="1" applyAlignment="1">
      <alignment horizontal="center"/>
    </xf>
    <xf numFmtId="0" fontId="8" fillId="0" borderId="0" xfId="0" applyFont="1"/>
    <xf numFmtId="49" fontId="9" fillId="0" borderId="0" xfId="0" applyNumberFormat="1" applyFont="1" applyAlignment="1">
      <alignment horizontal="center"/>
    </xf>
    <xf numFmtId="0" fontId="10" fillId="3" borderId="0" xfId="0" applyFont="1" applyFill="1" applyAlignment="1">
      <alignment horizontal="center"/>
    </xf>
    <xf numFmtId="0" fontId="7" fillId="3" borderId="0" xfId="1" applyFont="1" applyFill="1" applyBorder="1" applyAlignment="1" applyProtection="1"/>
    <xf numFmtId="0" fontId="7" fillId="0" borderId="2" xfId="0" applyFont="1" applyBorder="1"/>
    <xf numFmtId="0" fontId="10" fillId="0" borderId="0" xfId="0" applyFont="1" applyAlignment="1">
      <alignment vertical="center"/>
    </xf>
    <xf numFmtId="0" fontId="7" fillId="3" borderId="1" xfId="1" applyFont="1" applyFill="1" applyBorder="1" applyAlignment="1" applyProtection="1">
      <alignment horizontal="center" vertical="center"/>
    </xf>
    <xf numFmtId="14" fontId="7" fillId="3" borderId="1" xfId="0" applyNumberFormat="1" applyFont="1" applyFill="1" applyBorder="1" applyAlignment="1">
      <alignment horizontal="center" vertical="center"/>
    </xf>
    <xf numFmtId="0" fontId="7" fillId="0" borderId="1" xfId="1" applyFont="1" applyBorder="1" applyAlignment="1" applyProtection="1">
      <alignment horizontal="center" vertical="center"/>
    </xf>
    <xf numFmtId="0" fontId="7" fillId="0" borderId="8" xfId="1" applyFont="1" applyBorder="1" applyAlignment="1" applyProtection="1">
      <alignment vertical="center"/>
    </xf>
    <xf numFmtId="0" fontId="12" fillId="0" borderId="0" xfId="1" applyFont="1" applyAlignment="1" applyProtection="1">
      <alignment horizontal="center"/>
    </xf>
    <xf numFmtId="0" fontId="7" fillId="0" borderId="0" xfId="0" applyFont="1" applyAlignment="1">
      <alignment horizontal="left"/>
    </xf>
    <xf numFmtId="0" fontId="13" fillId="0" borderId="0" xfId="0" applyFont="1" applyAlignment="1">
      <alignment horizontal="center"/>
    </xf>
    <xf numFmtId="0" fontId="13" fillId="0" borderId="0" xfId="0" applyFont="1" applyAlignment="1">
      <alignment horizontal="center" vertical="center"/>
    </xf>
    <xf numFmtId="0" fontId="12" fillId="0" borderId="0" xfId="1" applyFont="1" applyAlignment="1" applyProtection="1">
      <alignment horizontal="center" vertical="center"/>
    </xf>
    <xf numFmtId="0" fontId="14" fillId="3" borderId="0" xfId="0" applyFont="1" applyFill="1"/>
    <xf numFmtId="0" fontId="7" fillId="3" borderId="0" xfId="0" applyFont="1" applyFill="1" applyAlignment="1">
      <alignment horizontal="center"/>
    </xf>
    <xf numFmtId="0" fontId="7" fillId="3" borderId="0" xfId="0" applyFont="1" applyFill="1"/>
    <xf numFmtId="0" fontId="15" fillId="3" borderId="0" xfId="0" applyFont="1" applyFill="1"/>
    <xf numFmtId="0" fontId="12" fillId="3" borderId="0" xfId="1" applyFont="1" applyFill="1" applyAlignment="1" applyProtection="1"/>
    <xf numFmtId="0" fontId="16" fillId="0" borderId="0" xfId="0" applyFont="1" applyAlignment="1">
      <alignment vertical="center"/>
    </xf>
    <xf numFmtId="0" fontId="7" fillId="0" borderId="1" xfId="0" applyFont="1" applyBorder="1" applyAlignment="1">
      <alignment vertical="center" wrapText="1"/>
    </xf>
    <xf numFmtId="0" fontId="7" fillId="0" borderId="1" xfId="1" applyFont="1" applyBorder="1" applyAlignment="1" applyProtection="1">
      <alignment horizontal="center" vertical="center" wrapText="1"/>
    </xf>
    <xf numFmtId="0" fontId="0" fillId="3" borderId="0" xfId="0" applyFill="1"/>
    <xf numFmtId="0" fontId="7" fillId="0" borderId="8" xfId="1" applyFont="1" applyBorder="1" applyAlignment="1" applyProtection="1">
      <alignment horizontal="center" vertical="center"/>
    </xf>
    <xf numFmtId="0" fontId="7" fillId="0" borderId="8" xfId="1" applyFont="1" applyBorder="1" applyAlignment="1" applyProtection="1">
      <alignment horizontal="center" vertical="center" wrapText="1"/>
    </xf>
    <xf numFmtId="0" fontId="7" fillId="0" borderId="8" xfId="1" applyFont="1" applyBorder="1" applyAlignment="1" applyProtection="1">
      <alignment vertical="center" wrapText="1"/>
    </xf>
    <xf numFmtId="14" fontId="7" fillId="3" borderId="1" xfId="0" applyNumberFormat="1" applyFont="1" applyFill="1" applyBorder="1" applyAlignment="1">
      <alignment horizontal="center" vertical="center" wrapText="1"/>
    </xf>
    <xf numFmtId="0" fontId="7" fillId="3" borderId="1" xfId="1" applyFont="1" applyFill="1" applyBorder="1" applyAlignment="1" applyProtection="1">
      <alignment horizontal="center" vertical="center" wrapText="1"/>
    </xf>
    <xf numFmtId="0" fontId="7" fillId="0" borderId="9" xfId="1" applyFont="1" applyBorder="1" applyAlignment="1" applyProtection="1">
      <alignment vertical="center"/>
    </xf>
    <xf numFmtId="0" fontId="19" fillId="0" borderId="0" xfId="0" applyFont="1" applyAlignment="1">
      <alignment horizontal="left" vertical="center"/>
    </xf>
    <xf numFmtId="0" fontId="7" fillId="0" borderId="0" xfId="1" applyFont="1" applyAlignment="1" applyProtection="1">
      <alignment horizontal="left" vertical="center"/>
    </xf>
    <xf numFmtId="0" fontId="7" fillId="0" borderId="1" xfId="1" applyFont="1" applyFill="1" applyBorder="1" applyAlignment="1" applyProtection="1">
      <alignment horizontal="center" vertical="center"/>
    </xf>
    <xf numFmtId="0" fontId="7" fillId="3" borderId="0" xfId="1" applyFont="1" applyFill="1" applyAlignment="1" applyProtection="1">
      <alignment horizontal="center"/>
    </xf>
    <xf numFmtId="0" fontId="12" fillId="3" borderId="0" xfId="1" applyFont="1" applyFill="1" applyAlignment="1" applyProtection="1">
      <alignment horizontal="center"/>
    </xf>
    <xf numFmtId="0" fontId="10" fillId="5" borderId="0" xfId="0" applyFont="1" applyFill="1" applyAlignment="1">
      <alignment vertical="center"/>
    </xf>
    <xf numFmtId="0" fontId="18" fillId="5" borderId="22" xfId="1" applyFont="1" applyFill="1" applyBorder="1" applyAlignment="1" applyProtection="1">
      <alignment horizontal="center" vertical="center"/>
    </xf>
    <xf numFmtId="0" fontId="18" fillId="5" borderId="23" xfId="0" applyFont="1" applyFill="1" applyBorder="1" applyAlignment="1">
      <alignment vertical="center"/>
    </xf>
    <xf numFmtId="14" fontId="23" fillId="5" borderId="21" xfId="0" applyNumberFormat="1" applyFont="1" applyFill="1" applyBorder="1" applyAlignment="1" applyProtection="1">
      <alignment horizontal="left" vertical="center"/>
      <protection locked="0"/>
    </xf>
    <xf numFmtId="0" fontId="7" fillId="3" borderId="0" xfId="0" applyFont="1" applyFill="1" applyAlignment="1">
      <alignment vertical="center"/>
    </xf>
    <xf numFmtId="14" fontId="10" fillId="3" borderId="5" xfId="0" applyNumberFormat="1" applyFont="1" applyFill="1" applyBorder="1" applyAlignment="1" applyProtection="1">
      <alignment horizontal="center" vertical="center"/>
      <protection locked="0"/>
    </xf>
    <xf numFmtId="14" fontId="10" fillId="3" borderId="1" xfId="0" applyNumberFormat="1" applyFont="1" applyFill="1" applyBorder="1" applyAlignment="1" applyProtection="1">
      <alignment horizontal="center" vertical="center"/>
      <protection locked="0"/>
    </xf>
    <xf numFmtId="14" fontId="10" fillId="3" borderId="1" xfId="0" applyNumberFormat="1" applyFont="1" applyFill="1" applyBorder="1" applyAlignment="1">
      <alignment horizontal="center" vertical="center" wrapText="1"/>
    </xf>
    <xf numFmtId="14" fontId="10" fillId="3" borderId="1" xfId="0" applyNumberFormat="1" applyFont="1" applyFill="1" applyBorder="1" applyAlignment="1" applyProtection="1">
      <alignment horizontal="center" vertical="center" wrapText="1"/>
      <protection locked="0"/>
    </xf>
    <xf numFmtId="0" fontId="18" fillId="5" borderId="25" xfId="1" applyFont="1" applyFill="1" applyBorder="1" applyAlignment="1" applyProtection="1">
      <alignment vertical="center"/>
    </xf>
    <xf numFmtId="0" fontId="10" fillId="3" borderId="0" xfId="0" applyFont="1" applyFill="1" applyAlignment="1">
      <alignment vertical="center"/>
    </xf>
    <xf numFmtId="0" fontId="11" fillId="3" borderId="0" xfId="0" applyFont="1" applyFill="1" applyAlignment="1">
      <alignment vertical="center"/>
    </xf>
    <xf numFmtId="0" fontId="12" fillId="3" borderId="0" xfId="1" applyFont="1" applyFill="1" applyBorder="1" applyAlignment="1" applyProtection="1">
      <alignment horizontal="center"/>
    </xf>
    <xf numFmtId="0" fontId="24" fillId="0" borderId="0" xfId="0" applyFont="1" applyAlignment="1">
      <alignment horizontal="left"/>
    </xf>
    <xf numFmtId="0" fontId="10" fillId="0" borderId="0" xfId="0" applyFont="1" applyAlignment="1">
      <alignment horizontal="left"/>
    </xf>
    <xf numFmtId="0" fontId="13" fillId="0" borderId="0" xfId="0" applyFont="1" applyAlignment="1">
      <alignment horizontal="left" vertical="center"/>
    </xf>
    <xf numFmtId="14" fontId="10" fillId="3" borderId="27" xfId="0" applyNumberFormat="1" applyFont="1" applyFill="1" applyBorder="1" applyAlignment="1" applyProtection="1">
      <alignment horizontal="center" vertical="center"/>
      <protection locked="0"/>
    </xf>
    <xf numFmtId="14" fontId="10" fillId="3" borderId="26" xfId="0" applyNumberFormat="1" applyFont="1" applyFill="1" applyBorder="1" applyAlignment="1" applyProtection="1">
      <alignment horizontal="center" vertical="center"/>
      <protection locked="0"/>
    </xf>
    <xf numFmtId="164" fontId="8" fillId="0" borderId="26" xfId="0" applyNumberFormat="1" applyFont="1" applyBorder="1" applyAlignment="1">
      <alignment horizontal="center" vertical="center"/>
    </xf>
    <xf numFmtId="164" fontId="7" fillId="0" borderId="26" xfId="0" applyNumberFormat="1" applyFont="1" applyBorder="1" applyAlignment="1">
      <alignment horizontal="center" vertical="center"/>
    </xf>
    <xf numFmtId="14" fontId="7" fillId="3" borderId="26" xfId="0" applyNumberFormat="1" applyFont="1" applyFill="1" applyBorder="1" applyAlignment="1">
      <alignment horizontal="center" vertical="center"/>
    </xf>
    <xf numFmtId="0" fontId="7" fillId="0" borderId="26" xfId="1" applyFont="1" applyBorder="1" applyAlignment="1" applyProtection="1">
      <alignment horizontal="center" vertical="center"/>
    </xf>
    <xf numFmtId="0" fontId="7" fillId="0" borderId="26" xfId="0" applyFont="1" applyBorder="1" applyAlignment="1">
      <alignment vertical="center"/>
    </xf>
    <xf numFmtId="0" fontId="7" fillId="3" borderId="26" xfId="1" applyFont="1" applyFill="1" applyBorder="1" applyAlignment="1" applyProtection="1">
      <alignment horizontal="center" vertical="center"/>
    </xf>
    <xf numFmtId="14" fontId="17" fillId="4" borderId="22" xfId="0" applyNumberFormat="1" applyFont="1" applyFill="1" applyBorder="1" applyAlignment="1" applyProtection="1">
      <alignment horizontal="left" vertical="center"/>
      <protection locked="0"/>
    </xf>
    <xf numFmtId="164" fontId="18" fillId="4" borderId="22" xfId="0" applyNumberFormat="1" applyFont="1" applyFill="1" applyBorder="1" applyAlignment="1">
      <alignment horizontal="center" vertical="center"/>
    </xf>
    <xf numFmtId="14" fontId="18" fillId="4" borderId="22" xfId="0" applyNumberFormat="1" applyFont="1" applyFill="1" applyBorder="1" applyAlignment="1">
      <alignment horizontal="center" vertical="center"/>
    </xf>
    <xf numFmtId="0" fontId="18" fillId="4" borderId="22" xfId="1" applyFont="1" applyFill="1" applyBorder="1" applyAlignment="1" applyProtection="1">
      <alignment horizontal="center" vertical="center"/>
    </xf>
    <xf numFmtId="0" fontId="18" fillId="4" borderId="22" xfId="0" applyFont="1" applyFill="1" applyBorder="1" applyAlignment="1">
      <alignment vertical="center"/>
    </xf>
    <xf numFmtId="0" fontId="18" fillId="4" borderId="25" xfId="1" applyFont="1" applyFill="1" applyBorder="1" applyAlignment="1" applyProtection="1">
      <alignment vertical="center"/>
    </xf>
    <xf numFmtId="14" fontId="10" fillId="3" borderId="26" xfId="0" applyNumberFormat="1" applyFont="1" applyFill="1" applyBorder="1" applyAlignment="1" applyProtection="1">
      <alignment horizontal="center" vertical="center" wrapText="1"/>
      <protection locked="0"/>
    </xf>
    <xf numFmtId="0" fontId="7" fillId="0" borderId="26" xfId="1" applyFont="1" applyBorder="1" applyAlignment="1" applyProtection="1">
      <alignment horizontal="center" vertical="center" wrapText="1"/>
    </xf>
    <xf numFmtId="14" fontId="10" fillId="4" borderId="22" xfId="0" applyNumberFormat="1" applyFont="1" applyFill="1" applyBorder="1" applyAlignment="1" applyProtection="1">
      <alignment horizontal="center" vertical="center"/>
      <protection locked="0"/>
    </xf>
    <xf numFmtId="14" fontId="7" fillId="4" borderId="22" xfId="0" applyNumberFormat="1" applyFont="1" applyFill="1" applyBorder="1" applyAlignment="1">
      <alignment horizontal="center" vertical="center"/>
    </xf>
    <xf numFmtId="0" fontId="7" fillId="4" borderId="22" xfId="1" applyFont="1" applyFill="1" applyBorder="1" applyAlignment="1" applyProtection="1">
      <alignment horizontal="center" vertical="center" wrapText="1"/>
    </xf>
    <xf numFmtId="0" fontId="7" fillId="4" borderId="22" xfId="1" applyFont="1" applyFill="1" applyBorder="1" applyAlignment="1" applyProtection="1">
      <alignment horizontal="center" vertical="center"/>
    </xf>
    <xf numFmtId="0" fontId="7" fillId="4" borderId="22" xfId="0" applyFont="1" applyFill="1" applyBorder="1" applyAlignment="1">
      <alignment vertical="center" wrapText="1"/>
    </xf>
    <xf numFmtId="0" fontId="7" fillId="4" borderId="25" xfId="1" applyFont="1" applyFill="1" applyBorder="1" applyAlignment="1" applyProtection="1">
      <alignment vertical="center" wrapText="1"/>
    </xf>
    <xf numFmtId="0" fontId="25" fillId="0" borderId="0" xfId="0" applyFont="1"/>
    <xf numFmtId="0" fontId="25" fillId="0" borderId="0" xfId="0" applyFont="1" applyAlignment="1">
      <alignment vertical="top"/>
    </xf>
    <xf numFmtId="49" fontId="10" fillId="2" borderId="22" xfId="0" applyNumberFormat="1" applyFont="1" applyFill="1" applyBorder="1" applyAlignment="1">
      <alignment horizontal="center" vertical="center"/>
    </xf>
    <xf numFmtId="14" fontId="23" fillId="5" borderId="4" xfId="0" applyNumberFormat="1" applyFont="1" applyFill="1" applyBorder="1" applyAlignment="1" applyProtection="1">
      <alignment vertical="center"/>
      <protection locked="0"/>
    </xf>
    <xf numFmtId="14" fontId="23" fillId="5" borderId="21" xfId="0" applyNumberFormat="1" applyFont="1" applyFill="1" applyBorder="1" applyAlignment="1" applyProtection="1">
      <alignment vertical="center"/>
      <protection locked="0"/>
    </xf>
    <xf numFmtId="49" fontId="10" fillId="2" borderId="25" xfId="0" applyNumberFormat="1" applyFont="1" applyFill="1" applyBorder="1" applyAlignment="1">
      <alignment horizontal="center" vertical="center"/>
    </xf>
    <xf numFmtId="0" fontId="7" fillId="0" borderId="29" xfId="0" applyFont="1" applyBorder="1" applyAlignment="1">
      <alignment vertical="top"/>
    </xf>
    <xf numFmtId="0" fontId="7" fillId="0" borderId="0" xfId="0" applyFont="1" applyAlignment="1">
      <alignment vertical="top"/>
    </xf>
    <xf numFmtId="0" fontId="7" fillId="3" borderId="1" xfId="1" applyFont="1" applyFill="1" applyBorder="1" applyAlignment="1" applyProtection="1">
      <alignment horizontal="left" vertical="center" wrapText="1"/>
    </xf>
    <xf numFmtId="0" fontId="32" fillId="0" borderId="0" xfId="0" applyFont="1"/>
    <xf numFmtId="14" fontId="33" fillId="5" borderId="3" xfId="0" applyNumberFormat="1" applyFont="1" applyFill="1" applyBorder="1" applyAlignment="1" applyProtection="1">
      <alignment vertical="center"/>
      <protection locked="0"/>
    </xf>
    <xf numFmtId="0" fontId="7" fillId="0" borderId="1" xfId="0" applyFont="1" applyBorder="1" applyAlignment="1">
      <alignment horizontal="left" vertical="center"/>
    </xf>
    <xf numFmtId="0" fontId="12" fillId="0" borderId="1" xfId="1" applyFont="1" applyBorder="1" applyAlignment="1" applyProtection="1">
      <alignment vertical="center" wrapText="1"/>
    </xf>
    <xf numFmtId="0" fontId="7" fillId="0" borderId="18" xfId="1" applyFont="1" applyFill="1" applyBorder="1" applyAlignment="1" applyProtection="1">
      <alignment horizontal="center"/>
    </xf>
    <xf numFmtId="0" fontId="5" fillId="0" borderId="19" xfId="0" applyFont="1" applyBorder="1" applyAlignment="1">
      <alignment horizontal="center"/>
    </xf>
    <xf numFmtId="14" fontId="5" fillId="0" borderId="19" xfId="0" applyNumberFormat="1" applyFont="1" applyBorder="1" applyAlignment="1">
      <alignment horizontal="center"/>
    </xf>
    <xf numFmtId="16" fontId="5" fillId="0" borderId="20" xfId="0" applyNumberFormat="1" applyFont="1" applyBorder="1" applyAlignment="1">
      <alignment horizontal="center"/>
    </xf>
    <xf numFmtId="0" fontId="7" fillId="3" borderId="1" xfId="0" applyFont="1" applyFill="1" applyBorder="1" applyAlignment="1">
      <alignment vertical="center" wrapText="1"/>
    </xf>
    <xf numFmtId="0" fontId="7" fillId="3" borderId="8" xfId="1" applyFont="1" applyFill="1" applyBorder="1" applyAlignment="1" applyProtection="1">
      <alignment vertical="center" wrapText="1"/>
    </xf>
    <xf numFmtId="0" fontId="4" fillId="4" borderId="2" xfId="0" applyFont="1" applyFill="1" applyBorder="1" applyAlignment="1">
      <alignment horizontal="center" vertical="center"/>
    </xf>
    <xf numFmtId="0" fontId="7" fillId="3" borderId="8" xfId="1" applyFont="1" applyFill="1" applyBorder="1" applyAlignment="1" applyProtection="1">
      <alignment horizontal="left" vertical="center" wrapText="1"/>
    </xf>
    <xf numFmtId="0" fontId="7" fillId="3" borderId="26" xfId="1" applyFont="1" applyFill="1" applyBorder="1" applyAlignment="1" applyProtection="1">
      <alignment horizontal="center" vertical="center" wrapText="1"/>
    </xf>
    <xf numFmtId="0" fontId="7" fillId="3" borderId="26" xfId="0" applyFont="1" applyFill="1" applyBorder="1" applyAlignment="1">
      <alignment vertical="center" wrapText="1"/>
    </xf>
    <xf numFmtId="14" fontId="17" fillId="4" borderId="36" xfId="0" applyNumberFormat="1" applyFont="1" applyFill="1" applyBorder="1" applyAlignment="1" applyProtection="1">
      <alignment horizontal="left" vertical="center"/>
      <protection locked="0"/>
    </xf>
    <xf numFmtId="14" fontId="18" fillId="4" borderId="36" xfId="0" applyNumberFormat="1" applyFont="1" applyFill="1" applyBorder="1" applyAlignment="1">
      <alignment horizontal="center" vertical="center"/>
    </xf>
    <xf numFmtId="0" fontId="18" fillId="4" borderId="36" xfId="1" applyFont="1" applyFill="1" applyBorder="1" applyAlignment="1" applyProtection="1">
      <alignment horizontal="center" vertical="center"/>
    </xf>
    <xf numFmtId="0" fontId="18" fillId="4" borderId="36" xfId="0" applyFont="1" applyFill="1" applyBorder="1" applyAlignment="1">
      <alignment vertical="center"/>
    </xf>
    <xf numFmtId="0" fontId="18" fillId="4" borderId="37" xfId="1" applyFont="1" applyFill="1" applyBorder="1" applyAlignment="1" applyProtection="1">
      <alignment vertical="center"/>
    </xf>
    <xf numFmtId="0" fontId="10" fillId="6" borderId="24"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0" fillId="6" borderId="22" xfId="0" applyFont="1" applyFill="1" applyBorder="1" applyAlignment="1">
      <alignment horizontal="center" vertical="center"/>
    </xf>
    <xf numFmtId="0" fontId="10" fillId="6" borderId="22" xfId="0" applyFont="1" applyFill="1" applyBorder="1" applyAlignment="1">
      <alignment vertical="center" wrapText="1"/>
    </xf>
    <xf numFmtId="0" fontId="10" fillId="6" borderId="25" xfId="0" applyFont="1" applyFill="1" applyBorder="1" applyAlignment="1">
      <alignment vertical="center" wrapText="1"/>
    </xf>
    <xf numFmtId="14" fontId="4" fillId="4" borderId="24" xfId="0" applyNumberFormat="1" applyFont="1" applyFill="1" applyBorder="1" applyAlignment="1" applyProtection="1">
      <alignment horizontal="center" vertical="center"/>
      <protection locked="0"/>
    </xf>
    <xf numFmtId="14" fontId="4" fillId="4" borderId="35" xfId="0" applyNumberFormat="1" applyFont="1" applyFill="1" applyBorder="1" applyAlignment="1" applyProtection="1">
      <alignment horizontal="center" vertical="center"/>
      <protection locked="0"/>
    </xf>
    <xf numFmtId="0" fontId="8" fillId="0" borderId="1" xfId="0" applyFont="1" applyBorder="1" applyAlignment="1">
      <alignment horizontal="center" vertical="center"/>
    </xf>
    <xf numFmtId="16" fontId="41" fillId="0" borderId="19" xfId="1" applyNumberFormat="1" applyFont="1" applyFill="1" applyBorder="1" applyAlignment="1" applyProtection="1">
      <alignment horizontal="center"/>
    </xf>
    <xf numFmtId="164" fontId="8" fillId="3" borderId="26" xfId="0" applyNumberFormat="1" applyFont="1" applyFill="1" applyBorder="1" applyAlignment="1">
      <alignment horizontal="center" vertical="center"/>
    </xf>
    <xf numFmtId="14" fontId="4" fillId="4" borderId="38" xfId="0" applyNumberFormat="1" applyFont="1" applyFill="1" applyBorder="1" applyAlignment="1" applyProtection="1">
      <alignment horizontal="center" vertical="center"/>
      <protection locked="0"/>
    </xf>
    <xf numFmtId="164" fontId="8" fillId="0" borderId="1" xfId="0" applyNumberFormat="1" applyFont="1" applyBorder="1" applyAlignment="1">
      <alignment horizontal="center" vertical="center"/>
    </xf>
    <xf numFmtId="164" fontId="7" fillId="0" borderId="1" xfId="0" applyNumberFormat="1" applyFont="1" applyBorder="1" applyAlignment="1">
      <alignment horizontal="center" vertical="center"/>
    </xf>
    <xf numFmtId="0" fontId="35" fillId="3" borderId="1" xfId="0" applyFont="1" applyFill="1" applyBorder="1" applyAlignment="1">
      <alignment vertical="center"/>
    </xf>
    <xf numFmtId="0" fontId="7" fillId="3" borderId="8" xfId="1" applyFont="1" applyFill="1" applyBorder="1" applyAlignment="1" applyProtection="1">
      <alignment horizontal="left" vertical="center"/>
    </xf>
    <xf numFmtId="16" fontId="3" fillId="0" borderId="8" xfId="1" applyNumberFormat="1" applyBorder="1" applyAlignment="1" applyProtection="1">
      <alignment horizontal="center"/>
    </xf>
    <xf numFmtId="0" fontId="42" fillId="3" borderId="1" xfId="1" applyFont="1" applyFill="1" applyBorder="1" applyAlignment="1" applyProtection="1">
      <alignment horizontal="center" vertical="center"/>
    </xf>
    <xf numFmtId="14" fontId="17" fillId="4" borderId="34" xfId="0" applyNumberFormat="1" applyFont="1" applyFill="1" applyBorder="1" applyAlignment="1" applyProtection="1">
      <alignment horizontal="left" vertical="center"/>
      <protection locked="0"/>
    </xf>
    <xf numFmtId="14" fontId="17" fillId="4" borderId="39" xfId="0" applyNumberFormat="1" applyFont="1" applyFill="1" applyBorder="1" applyAlignment="1" applyProtection="1">
      <alignment horizontal="left" vertical="center"/>
      <protection locked="0"/>
    </xf>
    <xf numFmtId="14" fontId="18" fillId="4" borderId="39" xfId="0" applyNumberFormat="1" applyFont="1" applyFill="1" applyBorder="1" applyAlignment="1">
      <alignment horizontal="center" vertical="center"/>
    </xf>
    <xf numFmtId="0" fontId="18" fillId="4" borderId="39" xfId="1" applyFont="1" applyFill="1" applyBorder="1" applyAlignment="1" applyProtection="1">
      <alignment horizontal="center" vertical="center"/>
    </xf>
    <xf numFmtId="0" fontId="18" fillId="4" borderId="39" xfId="0" applyFont="1" applyFill="1" applyBorder="1" applyAlignment="1">
      <alignment vertical="center"/>
    </xf>
    <xf numFmtId="0" fontId="18" fillId="4" borderId="40" xfId="1" applyFont="1" applyFill="1" applyBorder="1" applyAlignment="1" applyProtection="1">
      <alignment vertical="center"/>
    </xf>
    <xf numFmtId="0" fontId="43" fillId="0" borderId="0" xfId="0" applyFont="1"/>
    <xf numFmtId="49" fontId="31" fillId="4" borderId="0" xfId="0" applyNumberFormat="1" applyFont="1" applyFill="1" applyAlignment="1">
      <alignment horizontal="center" vertical="center"/>
    </xf>
    <xf numFmtId="49" fontId="10" fillId="2" borderId="24" xfId="0" applyNumberFormat="1" applyFont="1" applyFill="1" applyBorder="1" applyAlignment="1">
      <alignment horizontal="center" vertical="center"/>
    </xf>
    <xf numFmtId="49" fontId="10" fillId="2" borderId="22" xfId="0" applyNumberFormat="1" applyFont="1" applyFill="1" applyBorder="1" applyAlignment="1">
      <alignment horizontal="center" vertical="center"/>
    </xf>
    <xf numFmtId="49" fontId="10" fillId="2" borderId="23" xfId="0" applyNumberFormat="1" applyFont="1" applyFill="1" applyBorder="1" applyAlignment="1">
      <alignment horizontal="center" vertical="center"/>
    </xf>
    <xf numFmtId="49" fontId="10" fillId="2" borderId="4" xfId="0" applyNumberFormat="1" applyFont="1" applyFill="1" applyBorder="1" applyAlignment="1">
      <alignment horizontal="center" vertical="center"/>
    </xf>
    <xf numFmtId="49" fontId="10" fillId="2" borderId="21" xfId="0" applyNumberFormat="1" applyFont="1" applyFill="1" applyBorder="1" applyAlignment="1">
      <alignment horizontal="center" vertical="center"/>
    </xf>
    <xf numFmtId="0" fontId="29" fillId="0" borderId="28" xfId="0" applyFont="1" applyBorder="1" applyAlignment="1">
      <alignment horizontal="left" vertical="center" wrapText="1"/>
    </xf>
    <xf numFmtId="0" fontId="29" fillId="0" borderId="29" xfId="0" applyFont="1" applyBorder="1" applyAlignment="1">
      <alignment horizontal="left" vertical="center" wrapText="1"/>
    </xf>
    <xf numFmtId="0" fontId="29" fillId="0" borderId="30" xfId="0" applyFont="1" applyBorder="1" applyAlignment="1">
      <alignment horizontal="left" vertical="center" wrapText="1"/>
    </xf>
    <xf numFmtId="0" fontId="29" fillId="0" borderId="2" xfId="0" applyFont="1" applyBorder="1" applyAlignment="1">
      <alignment horizontal="left" vertical="center" wrapText="1"/>
    </xf>
    <xf numFmtId="0" fontId="29" fillId="0" borderId="0" xfId="0" applyFont="1" applyAlignment="1">
      <alignment horizontal="left" vertical="center" wrapText="1"/>
    </xf>
    <xf numFmtId="0" fontId="29" fillId="0" borderId="31" xfId="0" applyFont="1" applyBorder="1" applyAlignment="1">
      <alignment horizontal="left" vertical="center" wrapText="1"/>
    </xf>
    <xf numFmtId="0" fontId="29" fillId="0" borderId="32" xfId="0" applyFont="1" applyBorder="1" applyAlignment="1">
      <alignment horizontal="left" vertical="center" wrapText="1"/>
    </xf>
    <xf numFmtId="0" fontId="29" fillId="0" borderId="33" xfId="0" applyFont="1" applyBorder="1" applyAlignment="1">
      <alignment horizontal="left" vertical="center" wrapText="1"/>
    </xf>
    <xf numFmtId="0" fontId="29" fillId="0" borderId="20" xfId="0" applyFont="1" applyBorder="1" applyAlignment="1">
      <alignment horizontal="left" vertical="center" wrapText="1"/>
    </xf>
    <xf numFmtId="0" fontId="40" fillId="3" borderId="0" xfId="1" applyFont="1" applyFill="1" applyBorder="1" applyAlignment="1" applyProtection="1">
      <alignment horizontal="center" vertical="center"/>
    </xf>
    <xf numFmtId="0" fontId="37" fillId="3" borderId="0" xfId="1" applyFont="1" applyFill="1" applyBorder="1" applyAlignment="1" applyProtection="1">
      <alignment horizontal="center" vertical="center"/>
    </xf>
    <xf numFmtId="0" fontId="6" fillId="3" borderId="10" xfId="0" applyFont="1" applyFill="1" applyBorder="1" applyAlignment="1">
      <alignment horizontal="left" vertical="top" wrapText="1"/>
    </xf>
    <xf numFmtId="0" fontId="6" fillId="3" borderId="11" xfId="0" applyFont="1" applyFill="1" applyBorder="1" applyAlignment="1">
      <alignment horizontal="left" vertical="top" wrapText="1"/>
    </xf>
    <xf numFmtId="0" fontId="6" fillId="3" borderId="12" xfId="0" applyFont="1" applyFill="1" applyBorder="1" applyAlignment="1">
      <alignment horizontal="left" vertical="top" wrapText="1"/>
    </xf>
    <xf numFmtId="0" fontId="6" fillId="3" borderId="13" xfId="0" applyFont="1" applyFill="1" applyBorder="1" applyAlignment="1">
      <alignment horizontal="left" vertical="top" wrapText="1"/>
    </xf>
    <xf numFmtId="0" fontId="6" fillId="3" borderId="0" xfId="0" applyFont="1" applyFill="1" applyAlignment="1">
      <alignment horizontal="left" vertical="top" wrapText="1"/>
    </xf>
    <xf numFmtId="0" fontId="6" fillId="3" borderId="14"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16" xfId="0" applyFont="1" applyFill="1" applyBorder="1" applyAlignment="1">
      <alignment horizontal="left" vertical="top" wrapText="1"/>
    </xf>
    <xf numFmtId="0" fontId="6" fillId="3" borderId="17" xfId="0" applyFont="1" applyFill="1" applyBorder="1" applyAlignment="1">
      <alignment horizontal="left" vertical="top" wrapText="1"/>
    </xf>
    <xf numFmtId="14" fontId="7" fillId="7" borderId="1" xfId="0" applyNumberFormat="1" applyFont="1" applyFill="1" applyBorder="1" applyAlignment="1">
      <alignment horizontal="center" vertical="center"/>
    </xf>
    <xf numFmtId="14" fontId="7" fillId="8" borderId="1" xfId="0" applyNumberFormat="1" applyFont="1" applyFill="1" applyBorder="1" applyAlignment="1">
      <alignment horizontal="center" vertical="center"/>
    </xf>
    <xf numFmtId="0" fontId="0" fillId="8" borderId="0" xfId="0" applyFill="1"/>
  </cellXfs>
  <cellStyles count="5">
    <cellStyle name="Hyperlink" xfId="1" builtinId="8"/>
    <cellStyle name="Normal 2" xfId="3" xr:uid="{00000000-0005-0000-0000-000002000000}"/>
    <cellStyle name="Normal 3" xfId="4" xr:uid="{B9A59B1F-9619-4FF2-A4AC-CBD6F364CAD6}"/>
    <cellStyle name="Standaard" xfId="0" builtinId="0"/>
    <cellStyle name="Standaard 2"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3300"/>
      <color rgb="FFF0EA00"/>
      <color rgb="FFFFCC00"/>
      <color rgb="FFF4E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841375</xdr:colOff>
      <xdr:row>53</xdr:row>
      <xdr:rowOff>47439</xdr:rowOff>
    </xdr:from>
    <xdr:to>
      <xdr:col>14</xdr:col>
      <xdr:colOff>554370</xdr:colOff>
      <xdr:row>64</xdr:row>
      <xdr:rowOff>95250</xdr:rowOff>
    </xdr:to>
    <xdr:sp macro="" textlink="">
      <xdr:nvSpPr>
        <xdr:cNvPr id="4" name="Tekstvak 3">
          <a:extLst>
            <a:ext uri="{FF2B5EF4-FFF2-40B4-BE49-F238E27FC236}">
              <a16:creationId xmlns:a16="http://schemas.microsoft.com/office/drawing/2014/main" id="{00000000-0008-0000-0000-000004000000}"/>
            </a:ext>
          </a:extLst>
        </xdr:cNvPr>
        <xdr:cNvSpPr txBox="1"/>
      </xdr:nvSpPr>
      <xdr:spPr>
        <a:xfrm>
          <a:off x="6016625" y="8477064"/>
          <a:ext cx="9460245" cy="1952811"/>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200" b="1"/>
            <a:t>Audio</a:t>
          </a:r>
        </a:p>
        <a:p>
          <a:r>
            <a:rPr lang="nl-NL" sz="1200"/>
            <a:t>Audio is always user-initiated</a:t>
          </a:r>
          <a:r>
            <a:rPr lang="nl-NL" sz="1200" baseline="0"/>
            <a:t> by using a</a:t>
          </a:r>
          <a:r>
            <a:rPr lang="nl-NL" sz="1200"/>
            <a:t> mute on/off button. </a:t>
          </a:r>
        </a:p>
        <a:p>
          <a:endParaRPr lang="nl-NL" sz="1200" b="0"/>
        </a:p>
        <a:p>
          <a:r>
            <a:rPr lang="nl-NL" sz="1200" b="1">
              <a:solidFill>
                <a:sysClr val="windowText" lastClr="000000"/>
              </a:solidFill>
              <a:effectLst/>
            </a:rPr>
            <a:t>SSL</a:t>
          </a:r>
          <a:r>
            <a:rPr lang="nl-NL" sz="1200" b="1" baseline="0">
              <a:solidFill>
                <a:sysClr val="windowText" lastClr="000000"/>
              </a:solidFill>
              <a:effectLst/>
            </a:rPr>
            <a:t> Compliant</a:t>
          </a:r>
          <a:endParaRPr lang="nl-NL" sz="1200" b="1">
            <a:solidFill>
              <a:sysClr val="windowText" lastClr="000000"/>
            </a:solidFill>
            <a:effectLst/>
          </a:endParaRPr>
        </a:p>
        <a:p>
          <a:r>
            <a:rPr lang="nl-NL" sz="1200" b="0">
              <a:solidFill>
                <a:sysClr val="windowText" lastClr="000000"/>
              </a:solidFill>
              <a:effectLst/>
              <a:latin typeface="+mn-lt"/>
              <a:ea typeface="+mn-ea"/>
              <a:cs typeface="+mn-cs"/>
            </a:rPr>
            <a:t>Attention! All creatives need to be SSL compliant (https://)</a:t>
          </a:r>
          <a:endParaRPr lang="nl-NL" sz="1200" b="0">
            <a:solidFill>
              <a:schemeClr val="dk1"/>
            </a:solidFill>
            <a:effectLst/>
            <a:latin typeface="+mn-lt"/>
            <a:ea typeface="+mn-ea"/>
            <a:cs typeface="+mn-cs"/>
          </a:endParaRPr>
        </a:p>
        <a:p>
          <a:endParaRPr lang="nl-NL" sz="1100" b="0" i="0" u="none" strike="noStrike">
            <a:solidFill>
              <a:schemeClr val="dk1"/>
            </a:solidFill>
            <a:effectLst/>
            <a:latin typeface="+mn-lt"/>
            <a:ea typeface="+mn-ea"/>
            <a:cs typeface="+mn-cs"/>
          </a:endParaRPr>
        </a:p>
        <a:p>
          <a:r>
            <a:rPr lang="en-US" sz="1200" b="1" i="0" u="none" strike="noStrike">
              <a:solidFill>
                <a:schemeClr val="dk1"/>
              </a:solidFill>
              <a:effectLst/>
              <a:latin typeface="+mn-lt"/>
              <a:ea typeface="+mn-ea"/>
              <a:cs typeface="+mn-cs"/>
            </a:rPr>
            <a:t>Please check 'Developer Guidelines' </a:t>
          </a:r>
          <a:r>
            <a:rPr lang="en-US" sz="1200"/>
            <a:t> </a:t>
          </a:r>
          <a:r>
            <a:rPr lang="en-US" sz="1200" b="0" i="0" u="none" strike="noStrike">
              <a:solidFill>
                <a:schemeClr val="dk1"/>
              </a:solidFill>
              <a:effectLst/>
              <a:latin typeface="+mn-lt"/>
              <a:ea typeface="+mn-ea"/>
              <a:cs typeface="+mn-cs"/>
            </a:rPr>
            <a:t> </a:t>
          </a:r>
          <a:r>
            <a:rPr lang="en-US" sz="1200"/>
            <a:t> </a:t>
          </a:r>
          <a:r>
            <a:rPr lang="en-US" sz="1200" b="0" i="0" u="none" strike="noStrike">
              <a:solidFill>
                <a:schemeClr val="dk1"/>
              </a:solidFill>
              <a:effectLst/>
              <a:latin typeface="+mn-lt"/>
              <a:ea typeface="+mn-ea"/>
              <a:cs typeface="+mn-cs"/>
            </a:rPr>
            <a:t> </a:t>
          </a:r>
          <a:r>
            <a:rPr lang="en-US" sz="1200"/>
            <a:t> </a:t>
          </a:r>
          <a:r>
            <a:rPr lang="en-US" sz="1200" b="0" i="0" u="none" strike="noStrike">
              <a:solidFill>
                <a:schemeClr val="dk1"/>
              </a:solidFill>
              <a:effectLst/>
              <a:latin typeface="+mn-lt"/>
              <a:ea typeface="+mn-ea"/>
              <a:cs typeface="+mn-cs"/>
            </a:rPr>
            <a:t> </a:t>
          </a:r>
          <a:r>
            <a:rPr lang="en-US" sz="1200"/>
            <a:t> </a:t>
          </a:r>
          <a:r>
            <a:rPr lang="en-US" sz="1200" b="0" i="0" u="none" strike="noStrike">
              <a:solidFill>
                <a:schemeClr val="dk1"/>
              </a:solidFill>
              <a:effectLst/>
              <a:latin typeface="+mn-lt"/>
              <a:ea typeface="+mn-ea"/>
              <a:cs typeface="+mn-cs"/>
            </a:rPr>
            <a:t> </a:t>
          </a:r>
          <a:r>
            <a:rPr lang="en-US" sz="1200"/>
            <a:t> </a:t>
          </a:r>
          <a:r>
            <a:rPr lang="en-US" sz="1200" b="0" i="0" u="sng" strike="noStrike">
              <a:solidFill>
                <a:schemeClr val="dk1"/>
              </a:solidFill>
              <a:effectLst/>
              <a:latin typeface="+mn-lt"/>
              <a:ea typeface="+mn-ea"/>
              <a:cs typeface="+mn-cs"/>
              <a:hlinkClick xmlns:r="http://schemas.openxmlformats.org/officeDocument/2006/relationships" r:id=""/>
            </a:rPr>
            <a:t>https://support.google.com/dcm/partner/answer/3145300?hl=en&amp;ref_topic=3142581#dev</a:t>
          </a:r>
          <a:r>
            <a:rPr lang="en-US" sz="1200"/>
            <a:t> </a:t>
          </a:r>
          <a:r>
            <a:rPr lang="en-US" sz="1200" b="0" i="0" u="none" strike="noStrike">
              <a:solidFill>
                <a:schemeClr val="dk1"/>
              </a:solidFill>
              <a:effectLst/>
              <a:latin typeface="+mn-lt"/>
              <a:ea typeface="+mn-ea"/>
              <a:cs typeface="+mn-cs"/>
            </a:rPr>
            <a:t> </a:t>
          </a:r>
          <a:r>
            <a:rPr lang="en-US" sz="1200"/>
            <a:t> </a:t>
          </a:r>
          <a:r>
            <a:rPr lang="en-US" sz="1200" b="0" i="0" u="none" strike="noStrike">
              <a:solidFill>
                <a:schemeClr val="dk1"/>
              </a:solidFill>
              <a:effectLst/>
              <a:latin typeface="+mn-lt"/>
              <a:ea typeface="+mn-ea"/>
              <a:cs typeface="+mn-cs"/>
            </a:rPr>
            <a:t> </a:t>
          </a:r>
          <a:r>
            <a:rPr lang="en-US" sz="1200"/>
            <a:t> </a:t>
          </a:r>
          <a:r>
            <a:rPr lang="en-US" sz="1200" b="0" i="0" u="none" strike="noStrike">
              <a:solidFill>
                <a:schemeClr val="dk1"/>
              </a:solidFill>
              <a:effectLst/>
              <a:latin typeface="+mn-lt"/>
              <a:ea typeface="+mn-ea"/>
              <a:cs typeface="+mn-cs"/>
            </a:rPr>
            <a:t> </a:t>
          </a:r>
          <a:r>
            <a:rPr lang="en-US" sz="1200"/>
            <a:t> </a:t>
          </a:r>
          <a:r>
            <a:rPr lang="en-US" sz="1200" b="0" i="0" u="none" strike="noStrike">
              <a:solidFill>
                <a:schemeClr val="dk1"/>
              </a:solidFill>
              <a:effectLst/>
              <a:latin typeface="+mn-lt"/>
              <a:ea typeface="+mn-ea"/>
              <a:cs typeface="+mn-cs"/>
            </a:rPr>
            <a:t> </a:t>
          </a:r>
          <a:r>
            <a:rPr lang="en-US" sz="1200"/>
            <a:t> </a:t>
          </a:r>
          <a:r>
            <a:rPr lang="en-US" sz="1200" b="0" i="0" u="none" strike="noStrike">
              <a:solidFill>
                <a:schemeClr val="dk1"/>
              </a:solidFill>
              <a:effectLst/>
              <a:latin typeface="+mn-lt"/>
              <a:ea typeface="+mn-ea"/>
              <a:cs typeface="+mn-cs"/>
            </a:rPr>
            <a:t> </a:t>
          </a:r>
        </a:p>
        <a:p>
          <a:endParaRPr lang="en-US" sz="1200" b="0" i="0" u="none" strike="noStrike">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Check if your HTML5 file is compatible with Google Campaign</a:t>
          </a:r>
          <a:r>
            <a:rPr lang="en-US" sz="1200" b="1" i="0" baseline="0">
              <a:solidFill>
                <a:schemeClr val="dk1"/>
              </a:solidFill>
              <a:effectLst/>
              <a:latin typeface="+mn-lt"/>
              <a:ea typeface="+mn-ea"/>
              <a:cs typeface="+mn-cs"/>
            </a:rPr>
            <a:t> Manager by using the validator</a:t>
          </a:r>
          <a:r>
            <a:rPr lang="en-US" sz="1200" b="1">
              <a:solidFill>
                <a:schemeClr val="dk1"/>
              </a:solidFill>
              <a:effectLst/>
              <a:latin typeface="+mn-lt"/>
              <a:ea typeface="+mn-ea"/>
              <a:cs typeface="+mn-cs"/>
            </a:rPr>
            <a:t>  </a:t>
          </a:r>
          <a:r>
            <a:rPr lang="nl-NL" sz="1200" u="sng">
              <a:solidFill>
                <a:schemeClr val="dk1"/>
              </a:solidFill>
              <a:effectLst/>
              <a:latin typeface="+mn-lt"/>
              <a:ea typeface="+mn-ea"/>
              <a:cs typeface="+mn-cs"/>
            </a:rPr>
            <a:t>https://h5validator.appspot.com/dcm</a:t>
          </a:r>
        </a:p>
        <a:p>
          <a:pPr marL="0" marR="0" indent="0" defTabSz="914400" eaLnBrk="1" fontAlgn="auto" latinLnBrk="0" hangingPunct="1">
            <a:lnSpc>
              <a:spcPct val="100000"/>
            </a:lnSpc>
            <a:spcBef>
              <a:spcPts val="0"/>
            </a:spcBef>
            <a:spcAft>
              <a:spcPts val="0"/>
            </a:spcAft>
            <a:buClrTx/>
            <a:buSzTx/>
            <a:buFontTx/>
            <a:buNone/>
            <a:tabLst/>
            <a:defRPr/>
          </a:pPr>
          <a:r>
            <a:rPr lang="nl-NL" sz="1100">
              <a:solidFill>
                <a:schemeClr val="dk1"/>
              </a:solidFill>
              <a:effectLst/>
              <a:latin typeface="+mn-lt"/>
              <a:ea typeface="+mn-ea"/>
              <a:cs typeface="+mn-cs"/>
            </a:rPr>
            <a:t>Does</a:t>
          </a:r>
          <a:r>
            <a:rPr lang="nl-NL" sz="1100" baseline="0">
              <a:solidFill>
                <a:schemeClr val="dk1"/>
              </a:solidFill>
              <a:effectLst/>
              <a:latin typeface="+mn-lt"/>
              <a:ea typeface="+mn-ea"/>
              <a:cs typeface="+mn-cs"/>
            </a:rPr>
            <a:t> not guarantee a proper</a:t>
          </a:r>
          <a:r>
            <a:rPr lang="nl-NL" sz="1100">
              <a:solidFill>
                <a:schemeClr val="dk1"/>
              </a:solidFill>
              <a:effectLst/>
              <a:latin typeface="+mn-lt"/>
              <a:ea typeface="+mn-ea"/>
              <a:cs typeface="+mn-cs"/>
            </a:rPr>
            <a:t> functionality within the different web browsers</a:t>
          </a:r>
          <a:endParaRPr lang="en-US" sz="1200">
            <a:effectLst/>
          </a:endParaRPr>
        </a:p>
        <a:p>
          <a:r>
            <a:rPr lang="en-US" sz="1200"/>
            <a:t> </a:t>
          </a:r>
          <a:r>
            <a:rPr lang="en-US" sz="1200" b="0" i="0" u="none" strike="noStrike">
              <a:solidFill>
                <a:schemeClr val="dk1"/>
              </a:solidFill>
              <a:effectLst/>
              <a:latin typeface="+mn-lt"/>
              <a:ea typeface="+mn-ea"/>
              <a:cs typeface="+mn-cs"/>
            </a:rPr>
            <a:t> </a:t>
          </a:r>
          <a:r>
            <a:rPr lang="en-US" sz="1200"/>
            <a:t> </a:t>
          </a:r>
          <a:r>
            <a:rPr lang="en-US" sz="1200" b="0" i="0" u="none" strike="noStrike">
              <a:solidFill>
                <a:schemeClr val="dk1"/>
              </a:solidFill>
              <a:effectLst/>
              <a:latin typeface="+mn-lt"/>
              <a:ea typeface="+mn-ea"/>
              <a:cs typeface="+mn-cs"/>
            </a:rPr>
            <a:t> </a:t>
          </a:r>
          <a:r>
            <a:rPr lang="en-US" sz="1200"/>
            <a:t> </a:t>
          </a:r>
          <a:endParaRPr lang="nl-NL" sz="1200" b="0"/>
        </a:p>
      </xdr:txBody>
    </xdr:sp>
    <xdr:clientData/>
  </xdr:twoCellAnchor>
  <xdr:twoCellAnchor>
    <xdr:from>
      <xdr:col>14</xdr:col>
      <xdr:colOff>646906</xdr:colOff>
      <xdr:row>53</xdr:row>
      <xdr:rowOff>47626</xdr:rowOff>
    </xdr:from>
    <xdr:to>
      <xdr:col>17</xdr:col>
      <xdr:colOff>1101725</xdr:colOff>
      <xdr:row>73</xdr:row>
      <xdr:rowOff>142875</xdr:rowOff>
    </xdr:to>
    <xdr:sp macro="" textlink="">
      <xdr:nvSpPr>
        <xdr:cNvPr id="5" name="Tekstvak 4">
          <a:extLst>
            <a:ext uri="{FF2B5EF4-FFF2-40B4-BE49-F238E27FC236}">
              <a16:creationId xmlns:a16="http://schemas.microsoft.com/office/drawing/2014/main" id="{00000000-0008-0000-0000-000005000000}"/>
            </a:ext>
          </a:extLst>
        </xdr:cNvPr>
        <xdr:cNvSpPr txBox="1"/>
      </xdr:nvSpPr>
      <xdr:spPr>
        <a:xfrm>
          <a:off x="15220156" y="7461251"/>
          <a:ext cx="4598194" cy="3746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200" b="1"/>
            <a:t>Clicktag</a:t>
          </a:r>
        </a:p>
        <a:p>
          <a:pPr marL="0" marR="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HTML5</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&lt;html&gt;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&lt;head&gt;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&lt;meta name=”ad.size” content=”width=300,height=250”&gt;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&lt;script type="text/javascript"&gt;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var clickTag = "</a:t>
          </a:r>
          <a:r>
            <a:rPr lang="nl-NL" sz="1100" u="sng">
              <a:solidFill>
                <a:schemeClr val="dk1"/>
              </a:solidFill>
              <a:effectLst/>
              <a:latin typeface="+mn-lt"/>
              <a:ea typeface="+mn-ea"/>
              <a:cs typeface="+mn-cs"/>
              <a:hlinkClick xmlns:r="http://schemas.openxmlformats.org/officeDocument/2006/relationships" r:id=""/>
            </a:rPr>
            <a:t>https://www.doubleclickbygoogle.com/</a:t>
          </a:r>
          <a:r>
            <a:rPr lang="en-US" sz="1100">
              <a:solidFill>
                <a:schemeClr val="dk1"/>
              </a:solidFill>
              <a:effectLst/>
              <a:latin typeface="+mn-lt"/>
              <a:ea typeface="+mn-ea"/>
              <a:cs typeface="+mn-cs"/>
            </a:rPr>
            <a:t>"; &lt;/script&gt;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&lt;/head&gt;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[The rest of your creative code goes here.]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&lt;/html&gt; </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Make sure your creative uses the click tag variable as the click-through URL: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&lt;a href="javascript:window.open(window.clickTag)"&gt;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&lt;img src="images/dclk.png" border=0&gt;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&lt;/a&gt;</a:t>
          </a:r>
          <a:br>
            <a:rPr lang="en-US" sz="1100">
              <a:solidFill>
                <a:schemeClr val="dk1"/>
              </a:solidFill>
              <a:effectLst/>
              <a:latin typeface="+mn-lt"/>
              <a:ea typeface="+mn-ea"/>
              <a:cs typeface="+mn-cs"/>
            </a:rPr>
          </a:br>
          <a:endParaRPr lang="en-US" sz="1200">
            <a:effectLst/>
          </a:endParaRPr>
        </a:p>
        <a:p>
          <a:r>
            <a:rPr lang="nl-NL" sz="1200">
              <a:solidFill>
                <a:schemeClr val="dk1"/>
              </a:solidFill>
              <a:latin typeface="+mn-lt"/>
              <a:ea typeface="+mn-ea"/>
              <a:cs typeface="+mn-cs"/>
            </a:rPr>
            <a:t>Indien je HTML5 opmaakt via </a:t>
          </a:r>
          <a:r>
            <a:rPr lang="nl-NL" sz="1200" baseline="0">
              <a:solidFill>
                <a:schemeClr val="dk1"/>
              </a:solidFill>
              <a:latin typeface="+mn-lt"/>
              <a:ea typeface="+mn-ea"/>
              <a:cs typeface="+mn-cs"/>
            </a:rPr>
            <a:t> Go</a:t>
          </a:r>
          <a:r>
            <a:rPr lang="nl-NL" sz="1200">
              <a:solidFill>
                <a:schemeClr val="dk1"/>
              </a:solidFill>
              <a:latin typeface="+mn-lt"/>
              <a:ea typeface="+mn-ea"/>
              <a:cs typeface="+mn-cs"/>
            </a:rPr>
            <a:t>ogle Web Designer</a:t>
          </a:r>
          <a:r>
            <a:rPr lang="nl-NL" sz="1200" baseline="0">
              <a:solidFill>
                <a:schemeClr val="dk1"/>
              </a:solidFill>
              <a:latin typeface="+mn-lt"/>
              <a:ea typeface="+mn-ea"/>
              <a:cs typeface="+mn-cs"/>
            </a:rPr>
            <a:t>  check hier de  clicktag  </a:t>
          </a:r>
        </a:p>
        <a:p>
          <a:r>
            <a:rPr lang="nl-NL" sz="1200" baseline="0">
              <a:solidFill>
                <a:schemeClr val="dk1"/>
              </a:solidFill>
              <a:latin typeface="+mn-lt"/>
              <a:ea typeface="+mn-ea"/>
              <a:cs typeface="+mn-cs"/>
            </a:rPr>
            <a:t>https://support.google.com/webdesigner/answer/3263494?hl=en</a:t>
          </a:r>
        </a:p>
        <a:p>
          <a:endParaRPr lang="nl-NL" sz="1200" baseline="0">
            <a:solidFill>
              <a:schemeClr val="dk1"/>
            </a:solidFill>
            <a:latin typeface="+mn-lt"/>
            <a:ea typeface="+mn-ea"/>
            <a:cs typeface="+mn-cs"/>
          </a:endParaRPr>
        </a:p>
        <a:p>
          <a:endParaRPr lang="nl-NL" sz="1200" baseline="0">
            <a:solidFill>
              <a:schemeClr val="dk1"/>
            </a:solidFill>
            <a:latin typeface="+mn-lt"/>
            <a:ea typeface="+mn-ea"/>
            <a:cs typeface="+mn-cs"/>
          </a:endParaRPr>
        </a:p>
        <a:p>
          <a:endParaRPr lang="nl-NL" sz="1200">
            <a:solidFill>
              <a:schemeClr val="dk1"/>
            </a:solidFill>
            <a:latin typeface="+mn-lt"/>
            <a:ea typeface="+mn-ea"/>
            <a:cs typeface="+mn-cs"/>
          </a:endParaRPr>
        </a:p>
      </xdr:txBody>
    </xdr:sp>
    <xdr:clientData/>
  </xdr:twoCellAnchor>
  <xdr:twoCellAnchor>
    <xdr:from>
      <xdr:col>18</xdr:col>
      <xdr:colOff>115093</xdr:colOff>
      <xdr:row>53</xdr:row>
      <xdr:rowOff>55562</xdr:rowOff>
    </xdr:from>
    <xdr:to>
      <xdr:col>18</xdr:col>
      <xdr:colOff>3851135</xdr:colOff>
      <xdr:row>72</xdr:row>
      <xdr:rowOff>160897</xdr:rowOff>
    </xdr:to>
    <xdr:sp macro="" textlink="">
      <xdr:nvSpPr>
        <xdr:cNvPr id="6" name="Tekstvak 5">
          <a:extLst>
            <a:ext uri="{FF2B5EF4-FFF2-40B4-BE49-F238E27FC236}">
              <a16:creationId xmlns:a16="http://schemas.microsoft.com/office/drawing/2014/main" id="{00000000-0008-0000-0000-000006000000}"/>
            </a:ext>
          </a:extLst>
        </xdr:cNvPr>
        <xdr:cNvSpPr txBox="1"/>
      </xdr:nvSpPr>
      <xdr:spPr>
        <a:xfrm>
          <a:off x="35992593" y="52887562"/>
          <a:ext cx="3736042" cy="4518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rgbClr val="FF0000"/>
              </a:solidFill>
              <a:effectLst/>
              <a:latin typeface="+mn-lt"/>
              <a:ea typeface="+mn-ea"/>
              <a:cs typeface="+mn-cs"/>
            </a:rPr>
            <a:t>LET OP!!!</a:t>
          </a:r>
          <a:r>
            <a:rPr lang="nl-NL" sz="1100" b="1" baseline="0">
              <a:solidFill>
                <a:srgbClr val="FF0000"/>
              </a:solidFill>
              <a:effectLst/>
              <a:latin typeface="+mn-lt"/>
              <a:ea typeface="+mn-ea"/>
              <a:cs typeface="+mn-cs"/>
            </a:rPr>
            <a:t> </a:t>
          </a:r>
          <a:endParaRPr lang="nl-NL" sz="1200">
            <a:solidFill>
              <a:srgbClr val="FF0000"/>
            </a:solidFill>
            <a:effectLst/>
          </a:endParaRPr>
        </a:p>
        <a:p>
          <a:r>
            <a:rPr lang="nl-NL" sz="1100" b="1">
              <a:solidFill>
                <a:schemeClr val="dk1"/>
              </a:solidFill>
              <a:effectLst/>
              <a:latin typeface="+mn-lt"/>
              <a:ea typeface="+mn-ea"/>
              <a:cs typeface="+mn-cs"/>
            </a:rPr>
            <a:t>Yourchoice</a:t>
          </a:r>
          <a:r>
            <a:rPr lang="nl-NL" sz="1100" b="1" baseline="0">
              <a:solidFill>
                <a:schemeClr val="dk1"/>
              </a:solidFill>
              <a:effectLst/>
              <a:latin typeface="+mn-lt"/>
              <a:ea typeface="+mn-ea"/>
              <a:cs typeface="+mn-cs"/>
            </a:rPr>
            <a:t> Logo komt  op veel  websites rechts boven in de hoek te staan bij alle banner formaten. Houd hier rekening mee met bij het maken van het design!</a:t>
          </a:r>
          <a:endParaRPr lang="nl-NL" sz="1200">
            <a:effectLst/>
          </a:endParaRPr>
        </a:p>
      </xdr:txBody>
    </xdr:sp>
    <xdr:clientData/>
  </xdr:twoCellAnchor>
  <xdr:twoCellAnchor editAs="oneCell">
    <xdr:from>
      <xdr:col>18</xdr:col>
      <xdr:colOff>400844</xdr:colOff>
      <xdr:row>57</xdr:row>
      <xdr:rowOff>127000</xdr:rowOff>
    </xdr:from>
    <xdr:to>
      <xdr:col>18</xdr:col>
      <xdr:colOff>3713239</xdr:colOff>
      <xdr:row>68</xdr:row>
      <xdr:rowOff>56843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16704469" y="15621000"/>
          <a:ext cx="3319380" cy="2447619"/>
        </a:xfrm>
        <a:prstGeom prst="rect">
          <a:avLst/>
        </a:prstGeom>
      </xdr:spPr>
    </xdr:pic>
    <xdr:clientData/>
  </xdr:twoCellAnchor>
  <xdr:twoCellAnchor editAs="oneCell">
    <xdr:from>
      <xdr:col>1</xdr:col>
      <xdr:colOff>165101</xdr:colOff>
      <xdr:row>0</xdr:row>
      <xdr:rowOff>12700</xdr:rowOff>
    </xdr:from>
    <xdr:to>
      <xdr:col>2</xdr:col>
      <xdr:colOff>2950210</xdr:colOff>
      <xdr:row>2</xdr:row>
      <xdr:rowOff>403731</xdr:rowOff>
    </xdr:to>
    <xdr:pic>
      <xdr:nvPicPr>
        <xdr:cNvPr id="9" name="Picture 8">
          <a:extLst>
            <a:ext uri="{FF2B5EF4-FFF2-40B4-BE49-F238E27FC236}">
              <a16:creationId xmlns:a16="http://schemas.microsoft.com/office/drawing/2014/main" id="{2E9EF924-3A6C-43E0-BBAE-C02C42016FCA}"/>
            </a:ext>
          </a:extLst>
        </xdr:cNvPr>
        <xdr:cNvPicPr>
          <a:picLocks noChangeAspect="1"/>
        </xdr:cNvPicPr>
      </xdr:nvPicPr>
      <xdr:blipFill>
        <a:blip xmlns:r="http://schemas.openxmlformats.org/officeDocument/2006/relationships" r:embed="rId2"/>
        <a:stretch>
          <a:fillRect/>
        </a:stretch>
      </xdr:blipFill>
      <xdr:spPr>
        <a:xfrm>
          <a:off x="330201" y="12700"/>
          <a:ext cx="4825999" cy="8050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56405</xdr:colOff>
      <xdr:row>50</xdr:row>
      <xdr:rowOff>132342</xdr:rowOff>
    </xdr:to>
    <xdr:pic>
      <xdr:nvPicPr>
        <xdr:cNvPr id="3" name="Picture 2">
          <a:extLst>
            <a:ext uri="{FF2B5EF4-FFF2-40B4-BE49-F238E27FC236}">
              <a16:creationId xmlns:a16="http://schemas.microsoft.com/office/drawing/2014/main" id="{FADC6014-C048-4509-B588-8E8AFB244BA6}"/>
            </a:ext>
          </a:extLst>
        </xdr:cNvPr>
        <xdr:cNvPicPr>
          <a:picLocks noChangeAspect="1"/>
        </xdr:cNvPicPr>
      </xdr:nvPicPr>
      <xdr:blipFill>
        <a:blip xmlns:r="http://schemas.openxmlformats.org/officeDocument/2006/relationships" r:embed="rId1"/>
        <a:stretch>
          <a:fillRect/>
        </a:stretch>
      </xdr:blipFill>
      <xdr:spPr>
        <a:xfrm>
          <a:off x="590550" y="161925"/>
          <a:ext cx="5961905" cy="80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66675</xdr:rowOff>
    </xdr:from>
    <xdr:to>
      <xdr:col>12</xdr:col>
      <xdr:colOff>532425</xdr:colOff>
      <xdr:row>40</xdr:row>
      <xdr:rowOff>94437</xdr:rowOff>
    </xdr:to>
    <xdr:pic>
      <xdr:nvPicPr>
        <xdr:cNvPr id="2" name="Picture 1">
          <a:extLst>
            <a:ext uri="{FF2B5EF4-FFF2-40B4-BE49-F238E27FC236}">
              <a16:creationId xmlns:a16="http://schemas.microsoft.com/office/drawing/2014/main" id="{34E67EC7-5D91-4D48-A263-D22E9D632432}"/>
            </a:ext>
          </a:extLst>
        </xdr:cNvPr>
        <xdr:cNvPicPr>
          <a:picLocks noChangeAspect="1"/>
        </xdr:cNvPicPr>
      </xdr:nvPicPr>
      <xdr:blipFill>
        <a:blip xmlns:r="http://schemas.openxmlformats.org/officeDocument/2006/relationships" r:embed="rId1"/>
        <a:stretch>
          <a:fillRect/>
        </a:stretch>
      </xdr:blipFill>
      <xdr:spPr>
        <a:xfrm>
          <a:off x="47625" y="66675"/>
          <a:ext cx="7800000" cy="65047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20</xdr:col>
      <xdr:colOff>284267</xdr:colOff>
      <xdr:row>35</xdr:row>
      <xdr:rowOff>94509</xdr:rowOff>
    </xdr:to>
    <xdr:pic>
      <xdr:nvPicPr>
        <xdr:cNvPr id="2" name="Picture 1">
          <a:extLst>
            <a:ext uri="{FF2B5EF4-FFF2-40B4-BE49-F238E27FC236}">
              <a16:creationId xmlns:a16="http://schemas.microsoft.com/office/drawing/2014/main" id="{8E693E58-E77D-E582-6C8D-E8384BF0BBA2}"/>
            </a:ext>
          </a:extLst>
        </xdr:cNvPr>
        <xdr:cNvPicPr>
          <a:picLocks noChangeAspect="1"/>
        </xdr:cNvPicPr>
      </xdr:nvPicPr>
      <xdr:blipFill>
        <a:blip xmlns:r="http://schemas.openxmlformats.org/officeDocument/2006/relationships" r:embed="rId1"/>
        <a:stretch>
          <a:fillRect/>
        </a:stretch>
      </xdr:blipFill>
      <xdr:spPr>
        <a:xfrm>
          <a:off x="609600" y="171450"/>
          <a:ext cx="11866667" cy="592380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adops-nl@mbww.com" TargetMode="External"/><Relationship Id="rId7" Type="http://schemas.openxmlformats.org/officeDocument/2006/relationships/printerSettings" Target="../printerSettings/printerSettings1.bin"/><Relationship Id="rId2" Type="http://schemas.openxmlformats.org/officeDocument/2006/relationships/hyperlink" Target="https://business.twitter.com/en/help/campaign-setup/advertiser-card-specifications.html%20When%20using%20voice-over%20please%20embed%20subtitles.%20(no%20SRT)" TargetMode="External"/><Relationship Id="rId1" Type="http://schemas.openxmlformats.org/officeDocument/2006/relationships/hyperlink" Target="https://www.facebook.com/business/ads-guide?tab0=Nieuwsoverzicht%20op%20mobiele%20apparatenPlease%20always%20check%20a%20mock-up%20/%20preview%20of%20your%20ad%20on%20mobile%20to%20make%20sure%20no%20text%20is%20being%20aborted.When%20using%20voice-over%20please%20embed%20subtitles.%20(no%20SRT)" TargetMode="External"/><Relationship Id="rId6" Type="http://schemas.openxmlformats.org/officeDocument/2006/relationships/hyperlink" Target="https://www.linkedin.com/help/linkedin/answer/68894/advertising-specifications-for-sponsored-content?lang=en" TargetMode="External"/><Relationship Id="rId5" Type="http://schemas.openxmlformats.org/officeDocument/2006/relationships/hyperlink" Target="mailto:gerwin.van.engelenburg@mbww.com" TargetMode="External"/><Relationship Id="rId4" Type="http://schemas.openxmlformats.org/officeDocument/2006/relationships/hyperlink" Target="https://www.facebook.com/business/ads-guide/image/instagram-fee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1FE9D-F995-4BB9-B4F4-864BE62F5F69}">
  <dimension ref="A1:A47"/>
  <sheetViews>
    <sheetView topLeftCell="A22" zoomScale="80" zoomScaleNormal="80" workbookViewId="0">
      <selection activeCell="A46" sqref="A46"/>
    </sheetView>
  </sheetViews>
  <sheetFormatPr defaultColWidth="9.140625" defaultRowHeight="18.75"/>
  <cols>
    <col min="1" max="16384" width="9.140625" style="23"/>
  </cols>
  <sheetData>
    <row r="1" spans="1:1">
      <c r="A1" s="23" t="s">
        <v>0</v>
      </c>
    </row>
    <row r="2" spans="1:1">
      <c r="A2" s="23" t="s">
        <v>1</v>
      </c>
    </row>
    <row r="3" spans="1:1">
      <c r="A3" s="23" t="s">
        <v>2</v>
      </c>
    </row>
    <row r="4" spans="1:1">
      <c r="A4" s="23" t="s">
        <v>3</v>
      </c>
    </row>
    <row r="5" spans="1:1">
      <c r="A5" s="23" t="s">
        <v>4</v>
      </c>
    </row>
    <row r="6" spans="1:1">
      <c r="A6" s="23" t="s">
        <v>5</v>
      </c>
    </row>
    <row r="7" spans="1:1">
      <c r="A7" s="23" t="s">
        <v>6</v>
      </c>
    </row>
    <row r="8" spans="1:1">
      <c r="A8" s="23" t="s">
        <v>7</v>
      </c>
    </row>
    <row r="9" spans="1:1">
      <c r="A9" s="23" t="s">
        <v>8</v>
      </c>
    </row>
    <row r="10" spans="1:1">
      <c r="A10" s="23" t="s">
        <v>9</v>
      </c>
    </row>
    <row r="11" spans="1:1">
      <c r="A11" s="23" t="s">
        <v>10</v>
      </c>
    </row>
    <row r="12" spans="1:1">
      <c r="A12" s="23" t="s">
        <v>11</v>
      </c>
    </row>
    <row r="14" spans="1:1">
      <c r="A14" s="23" t="s">
        <v>12</v>
      </c>
    </row>
    <row r="15" spans="1:1">
      <c r="A15" s="23" t="s">
        <v>13</v>
      </c>
    </row>
    <row r="16" spans="1:1">
      <c r="A16" s="23" t="s">
        <v>14</v>
      </c>
    </row>
    <row r="18" spans="1:1">
      <c r="A18" s="23" t="s">
        <v>15</v>
      </c>
    </row>
    <row r="19" spans="1:1">
      <c r="A19" s="23" t="s">
        <v>16</v>
      </c>
    </row>
    <row r="20" spans="1:1">
      <c r="A20" s="23" t="s">
        <v>17</v>
      </c>
    </row>
    <row r="22" spans="1:1">
      <c r="A22" s="23" t="s">
        <v>18</v>
      </c>
    </row>
    <row r="23" spans="1:1">
      <c r="A23" s="23" t="s">
        <v>19</v>
      </c>
    </row>
    <row r="24" spans="1:1">
      <c r="A24" s="23" t="s">
        <v>20</v>
      </c>
    </row>
    <row r="26" spans="1:1">
      <c r="A26" s="23" t="s">
        <v>21</v>
      </c>
    </row>
    <row r="27" spans="1:1">
      <c r="A27" s="23" t="s">
        <v>22</v>
      </c>
    </row>
    <row r="28" spans="1:1">
      <c r="A28" s="23" t="s">
        <v>23</v>
      </c>
    </row>
    <row r="29" spans="1:1">
      <c r="A29" s="23" t="s">
        <v>24</v>
      </c>
    </row>
    <row r="30" spans="1:1">
      <c r="A30" s="23" t="s">
        <v>25</v>
      </c>
    </row>
    <row r="31" spans="1:1">
      <c r="A31" s="23" t="s">
        <v>26</v>
      </c>
    </row>
    <row r="32" spans="1:1">
      <c r="A32" s="23" t="s">
        <v>20</v>
      </c>
    </row>
    <row r="34" spans="1:1">
      <c r="A34" s="23" t="s">
        <v>27</v>
      </c>
    </row>
    <row r="35" spans="1:1">
      <c r="A35" s="23" t="s">
        <v>28</v>
      </c>
    </row>
    <row r="37" spans="1:1">
      <c r="A37" s="23" t="s">
        <v>29</v>
      </c>
    </row>
    <row r="38" spans="1:1">
      <c r="A38" s="23" t="s">
        <v>30</v>
      </c>
    </row>
    <row r="39" spans="1:1">
      <c r="A39" s="23" t="s">
        <v>31</v>
      </c>
    </row>
    <row r="40" spans="1:1">
      <c r="A40" s="23" t="s">
        <v>32</v>
      </c>
    </row>
    <row r="42" spans="1:1">
      <c r="A42" s="23" t="s">
        <v>33</v>
      </c>
    </row>
    <row r="43" spans="1:1">
      <c r="A43" s="23" t="s">
        <v>34</v>
      </c>
    </row>
    <row r="44" spans="1:1">
      <c r="A44" s="23" t="s">
        <v>35</v>
      </c>
    </row>
    <row r="45" spans="1:1">
      <c r="A45" s="23" t="s">
        <v>30</v>
      </c>
    </row>
    <row r="46" spans="1:1">
      <c r="A46" s="23" t="s">
        <v>36</v>
      </c>
    </row>
    <row r="47" spans="1:1">
      <c r="A47" s="23"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U83"/>
  <sheetViews>
    <sheetView showGridLines="0" zoomScale="55" zoomScaleNormal="55" zoomScaleSheetLayoutView="30" workbookViewId="0">
      <pane xSplit="3" ySplit="4" topLeftCell="D19" activePane="bottomRight" state="frozen"/>
      <selection pane="topRight" activeCell="D1" sqref="D1"/>
      <selection pane="bottomLeft" activeCell="A4" sqref="A4"/>
      <selection pane="bottomRight" activeCell="O27" sqref="O27"/>
    </sheetView>
  </sheetViews>
  <sheetFormatPr defaultColWidth="9.140625" defaultRowHeight="18.75"/>
  <cols>
    <col min="1" max="1" width="2.42578125" style="4" customWidth="1"/>
    <col min="2" max="2" width="29.85546875" style="5" bestFit="1" customWidth="1"/>
    <col min="3" max="3" width="46.28515625" style="5" bestFit="1" customWidth="1"/>
    <col min="4" max="4" width="23.42578125" style="6" bestFit="1" customWidth="1"/>
    <col min="5" max="5" width="30" style="4" customWidth="1"/>
    <col min="6" max="6" width="48" style="5" bestFit="1" customWidth="1"/>
    <col min="7" max="7" width="44.28515625" style="4" bestFit="1" customWidth="1"/>
    <col min="8" max="8" width="39.140625" style="4" bestFit="1" customWidth="1"/>
    <col min="9" max="9" width="93.140625" style="4" customWidth="1"/>
    <col min="10" max="11" width="30.140625" style="4" customWidth="1"/>
    <col min="12" max="12" width="52.7109375" style="4" bestFit="1" customWidth="1"/>
    <col min="13" max="13" width="25" style="4" customWidth="1"/>
    <col min="14" max="14" width="20" style="4" customWidth="1"/>
    <col min="15" max="15" width="40.42578125" style="4" customWidth="1"/>
    <col min="16" max="16" width="22.140625" style="4" customWidth="1"/>
    <col min="17" max="17" width="44" style="4" bestFit="1" customWidth="1"/>
    <col min="18" max="18" width="21.28515625" style="4" bestFit="1" customWidth="1"/>
    <col min="19" max="19" width="219.42578125" style="4" bestFit="1" customWidth="1"/>
    <col min="20" max="20" width="150.140625" style="4" bestFit="1" customWidth="1"/>
    <col min="21" max="23" width="9.140625" style="23" customWidth="1"/>
    <col min="24" max="16384" width="9.140625" style="23"/>
  </cols>
  <sheetData>
    <row r="1" spans="1:9" ht="11.25" customHeight="1"/>
    <row r="2" spans="1:9" s="4" customFormat="1" ht="21" customHeight="1">
      <c r="B2" s="5"/>
      <c r="C2" s="5"/>
      <c r="D2" s="6"/>
      <c r="F2" s="5"/>
    </row>
    <row r="3" spans="1:9" s="4" customFormat="1" ht="34.5" customHeight="1">
      <c r="B3" s="7"/>
      <c r="C3" s="5"/>
      <c r="D3" s="6"/>
      <c r="E3" s="79" t="s">
        <v>37</v>
      </c>
      <c r="F3" s="8"/>
      <c r="G3" s="9"/>
    </row>
    <row r="4" spans="1:9" s="4" customFormat="1" ht="45.75" customHeight="1">
      <c r="B4" s="131" t="s">
        <v>38</v>
      </c>
      <c r="C4" s="131"/>
      <c r="D4" s="6"/>
      <c r="E4" s="80" t="s">
        <v>39</v>
      </c>
      <c r="F4" s="8"/>
      <c r="G4" s="9"/>
    </row>
    <row r="5" spans="1:9" ht="16.5" customHeight="1" thickBot="1">
      <c r="B5" s="7"/>
    </row>
    <row r="6" spans="1:9" ht="19.5" thickBot="1">
      <c r="B6" s="1" t="s">
        <v>40</v>
      </c>
      <c r="C6" s="92" t="s">
        <v>1</v>
      </c>
      <c r="E6" s="137" t="s">
        <v>41</v>
      </c>
      <c r="F6" s="138"/>
      <c r="G6" s="138"/>
      <c r="H6" s="139"/>
    </row>
    <row r="7" spans="1:9">
      <c r="B7" s="1" t="s">
        <v>42</v>
      </c>
      <c r="C7" s="92" t="s">
        <v>186</v>
      </c>
      <c r="E7" s="140"/>
      <c r="F7" s="141"/>
      <c r="G7" s="141"/>
      <c r="H7" s="142"/>
    </row>
    <row r="8" spans="1:9" ht="24.75" customHeight="1" thickBot="1">
      <c r="B8" s="2" t="s">
        <v>43</v>
      </c>
      <c r="C8" s="93" t="s">
        <v>188</v>
      </c>
      <c r="E8" s="143"/>
      <c r="F8" s="144"/>
      <c r="G8" s="144"/>
      <c r="H8" s="145"/>
    </row>
    <row r="9" spans="1:9">
      <c r="B9" s="2" t="s">
        <v>44</v>
      </c>
      <c r="C9" s="93" t="s">
        <v>185</v>
      </c>
      <c r="E9" s="85"/>
      <c r="F9" s="85"/>
      <c r="G9" s="85"/>
      <c r="H9" s="85"/>
    </row>
    <row r="10" spans="1:9" ht="16.5" customHeight="1">
      <c r="B10" s="2" t="s">
        <v>45</v>
      </c>
      <c r="C10" s="94" t="s">
        <v>189</v>
      </c>
      <c r="E10" s="86"/>
      <c r="F10" s="86"/>
      <c r="G10" s="86"/>
      <c r="H10" s="86"/>
    </row>
    <row r="11" spans="1:9" ht="16.5" customHeight="1" thickBot="1">
      <c r="A11" s="10"/>
      <c r="B11" s="2" t="s">
        <v>46</v>
      </c>
      <c r="C11" s="115" t="s">
        <v>47</v>
      </c>
      <c r="E11" s="146"/>
      <c r="F11" s="146"/>
      <c r="G11" s="146"/>
      <c r="H11" s="146"/>
      <c r="I11" s="147"/>
    </row>
    <row r="12" spans="1:9" ht="16.5" customHeight="1">
      <c r="A12" s="10"/>
      <c r="B12" s="98" t="s">
        <v>48</v>
      </c>
      <c r="C12" s="92" t="s">
        <v>186</v>
      </c>
      <c r="E12" s="146"/>
      <c r="F12" s="146"/>
      <c r="G12" s="146"/>
      <c r="H12" s="146"/>
      <c r="I12" s="147"/>
    </row>
    <row r="13" spans="1:9" ht="16.5" customHeight="1">
      <c r="A13" s="10"/>
      <c r="B13" s="98" t="s">
        <v>49</v>
      </c>
      <c r="C13" s="122" t="s">
        <v>187</v>
      </c>
      <c r="E13" s="146"/>
      <c r="F13" s="146"/>
      <c r="G13" s="146"/>
      <c r="H13" s="146"/>
      <c r="I13" s="147"/>
    </row>
    <row r="14" spans="1:9" ht="16.5" customHeight="1" thickBot="1">
      <c r="A14" s="10"/>
      <c r="B14" s="98" t="s">
        <v>50</v>
      </c>
      <c r="C14" s="95" t="s">
        <v>51</v>
      </c>
      <c r="E14" s="146"/>
      <c r="F14" s="146"/>
      <c r="G14" s="146"/>
      <c r="H14" s="146"/>
      <c r="I14" s="147"/>
    </row>
    <row r="15" spans="1:9" ht="16.5" customHeight="1">
      <c r="A15" s="10"/>
      <c r="E15" s="146"/>
      <c r="F15" s="146"/>
      <c r="G15" s="146"/>
      <c r="H15" s="146"/>
      <c r="I15" s="147"/>
    </row>
    <row r="16" spans="1:9" ht="16.5" customHeight="1" thickBot="1">
      <c r="B16" s="7"/>
      <c r="E16" s="88"/>
    </row>
    <row r="17" spans="1:20" s="51" customFormat="1" ht="29.25" customHeight="1" thickBot="1">
      <c r="A17" s="11"/>
      <c r="B17" s="132" t="s">
        <v>52</v>
      </c>
      <c r="C17" s="133"/>
      <c r="D17" s="133" t="s">
        <v>53</v>
      </c>
      <c r="E17" s="133"/>
      <c r="F17" s="134" t="s">
        <v>54</v>
      </c>
      <c r="G17" s="135"/>
      <c r="H17" s="135"/>
      <c r="I17" s="135"/>
      <c r="J17" s="135"/>
      <c r="K17" s="135"/>
      <c r="L17" s="135"/>
      <c r="M17" s="135"/>
      <c r="N17" s="135"/>
      <c r="O17" s="135"/>
      <c r="P17" s="135"/>
      <c r="Q17" s="135"/>
      <c r="R17" s="136"/>
      <c r="S17" s="81" t="s">
        <v>55</v>
      </c>
      <c r="T17" s="84" t="s">
        <v>56</v>
      </c>
    </row>
    <row r="18" spans="1:20" s="52" customFormat="1" ht="38.25" thickBot="1">
      <c r="A18" s="11"/>
      <c r="B18" s="107" t="s">
        <v>57</v>
      </c>
      <c r="C18" s="108" t="s">
        <v>58</v>
      </c>
      <c r="D18" s="108" t="s">
        <v>59</v>
      </c>
      <c r="E18" s="109" t="s">
        <v>60</v>
      </c>
      <c r="F18" s="109" t="s">
        <v>61</v>
      </c>
      <c r="G18" s="109" t="s">
        <v>62</v>
      </c>
      <c r="H18" s="108" t="s">
        <v>63</v>
      </c>
      <c r="I18" s="108" t="s">
        <v>64</v>
      </c>
      <c r="J18" s="109" t="s">
        <v>65</v>
      </c>
      <c r="K18" s="108" t="s">
        <v>66</v>
      </c>
      <c r="L18" s="109" t="s">
        <v>67</v>
      </c>
      <c r="M18" s="109" t="s">
        <v>68</v>
      </c>
      <c r="N18" s="109" t="s">
        <v>69</v>
      </c>
      <c r="O18" s="109" t="s">
        <v>70</v>
      </c>
      <c r="P18" s="109" t="s">
        <v>71</v>
      </c>
      <c r="Q18" s="109" t="s">
        <v>72</v>
      </c>
      <c r="R18" s="108" t="s">
        <v>73</v>
      </c>
      <c r="S18" s="110" t="s">
        <v>74</v>
      </c>
      <c r="T18" s="111" t="s">
        <v>56</v>
      </c>
    </row>
    <row r="19" spans="1:20" s="45" customFormat="1" ht="19.5" customHeight="1" thickBot="1">
      <c r="A19" s="11"/>
      <c r="B19" s="112" t="s">
        <v>75</v>
      </c>
      <c r="C19" s="65"/>
      <c r="D19" s="66"/>
      <c r="E19" s="66"/>
      <c r="F19" s="67"/>
      <c r="G19" s="68"/>
      <c r="H19" s="68"/>
      <c r="I19" s="68"/>
      <c r="J19" s="68"/>
      <c r="K19" s="68"/>
      <c r="L19" s="68"/>
      <c r="M19" s="68"/>
      <c r="N19" s="68"/>
      <c r="O19" s="68"/>
      <c r="P19" s="68"/>
      <c r="Q19" s="68"/>
      <c r="R19" s="68"/>
      <c r="S19" s="69"/>
      <c r="T19" s="70"/>
    </row>
    <row r="20" spans="1:20" s="45" customFormat="1" ht="37.5">
      <c r="A20" s="11"/>
      <c r="B20" s="57" t="s">
        <v>190</v>
      </c>
      <c r="C20" s="58" t="s">
        <v>76</v>
      </c>
      <c r="D20" s="59">
        <f>WORKDAY(E20,-7,)</f>
        <v>45169</v>
      </c>
      <c r="E20" s="60">
        <v>45180</v>
      </c>
      <c r="F20" s="61" t="s">
        <v>77</v>
      </c>
      <c r="G20" s="72" t="s">
        <v>78</v>
      </c>
      <c r="H20" s="64" t="s">
        <v>192</v>
      </c>
      <c r="I20" s="64" t="s">
        <v>191</v>
      </c>
      <c r="J20" s="62" t="s">
        <v>79</v>
      </c>
      <c r="K20" s="62" t="s">
        <v>6</v>
      </c>
      <c r="L20" s="62" t="s">
        <v>80</v>
      </c>
      <c r="M20" s="62" t="s">
        <v>12</v>
      </c>
      <c r="N20" s="62" t="s">
        <v>15</v>
      </c>
      <c r="O20" s="62"/>
      <c r="P20" s="62" t="s">
        <v>81</v>
      </c>
      <c r="Q20" s="62" t="s">
        <v>32</v>
      </c>
      <c r="R20" s="62" t="s">
        <v>20</v>
      </c>
      <c r="S20" s="63" t="s">
        <v>82</v>
      </c>
      <c r="T20" s="35" t="s">
        <v>83</v>
      </c>
    </row>
    <row r="21" spans="1:20" s="45" customFormat="1" ht="19.5" customHeight="1" thickBot="1">
      <c r="A21" s="11"/>
      <c r="B21" s="46" t="s">
        <v>87</v>
      </c>
      <c r="C21" s="47" t="s">
        <v>193</v>
      </c>
      <c r="D21" s="59">
        <f t="shared" ref="D21:D24" si="0">WORKDAY(E21,-7,)</f>
        <v>45169</v>
      </c>
      <c r="E21" s="60">
        <v>45180</v>
      </c>
      <c r="F21" s="13" t="s">
        <v>88</v>
      </c>
      <c r="G21" s="28" t="s">
        <v>84</v>
      </c>
      <c r="H21" s="64" t="s">
        <v>192</v>
      </c>
      <c r="I21" s="114" t="s">
        <v>248</v>
      </c>
      <c r="J21" s="14" t="s">
        <v>85</v>
      </c>
      <c r="K21" s="14" t="s">
        <v>5</v>
      </c>
      <c r="L21" s="14" t="s">
        <v>86</v>
      </c>
      <c r="M21" s="14" t="s">
        <v>12</v>
      </c>
      <c r="N21" s="14" t="s">
        <v>15</v>
      </c>
      <c r="O21" s="14" t="s">
        <v>89</v>
      </c>
      <c r="P21" s="14" t="s">
        <v>81</v>
      </c>
      <c r="Q21" s="14" t="s">
        <v>29</v>
      </c>
      <c r="R21" s="62" t="s">
        <v>20</v>
      </c>
      <c r="S21" s="90"/>
      <c r="T21" s="30" t="s">
        <v>79</v>
      </c>
    </row>
    <row r="22" spans="1:20" s="45" customFormat="1" ht="19.5" customHeight="1" thickBot="1">
      <c r="A22" s="11"/>
      <c r="B22" s="112" t="s">
        <v>90</v>
      </c>
      <c r="C22" s="65"/>
      <c r="D22" s="65"/>
      <c r="E22" s="65"/>
      <c r="F22" s="67"/>
      <c r="G22" s="68"/>
      <c r="H22" s="68"/>
      <c r="I22" s="68"/>
      <c r="J22" s="68"/>
      <c r="K22" s="68"/>
      <c r="L22" s="68"/>
      <c r="M22" s="68"/>
      <c r="N22" s="68"/>
      <c r="O22" s="68"/>
      <c r="P22" s="68"/>
      <c r="Q22" s="68"/>
      <c r="R22" s="68"/>
      <c r="S22" s="69"/>
      <c r="T22" s="70"/>
    </row>
    <row r="23" spans="1:20" s="45" customFormat="1" ht="19.5" customHeight="1">
      <c r="A23" s="11"/>
      <c r="B23" s="46" t="s">
        <v>87</v>
      </c>
      <c r="C23" s="47" t="s">
        <v>91</v>
      </c>
      <c r="D23" s="59">
        <f t="shared" si="0"/>
        <v>45169</v>
      </c>
      <c r="E23" s="60">
        <v>45180</v>
      </c>
      <c r="F23" s="13" t="s">
        <v>97</v>
      </c>
      <c r="G23" s="157" t="s">
        <v>98</v>
      </c>
      <c r="H23" s="12" t="s">
        <v>194</v>
      </c>
      <c r="I23" s="12"/>
      <c r="J23" s="14" t="s">
        <v>92</v>
      </c>
      <c r="K23" s="14" t="s">
        <v>4</v>
      </c>
      <c r="L23" s="14" t="s">
        <v>93</v>
      </c>
      <c r="M23" s="14" t="s">
        <v>14</v>
      </c>
      <c r="N23" s="14" t="s">
        <v>17</v>
      </c>
      <c r="O23" s="14" t="s">
        <v>94</v>
      </c>
      <c r="P23" s="14" t="s">
        <v>79</v>
      </c>
      <c r="Q23" s="14" t="s">
        <v>29</v>
      </c>
      <c r="R23" s="62" t="s">
        <v>33</v>
      </c>
      <c r="S23" s="3" t="s">
        <v>95</v>
      </c>
      <c r="T23" s="32" t="s">
        <v>96</v>
      </c>
    </row>
    <row r="24" spans="1:20" s="45" customFormat="1">
      <c r="A24" s="11"/>
      <c r="B24" s="46" t="s">
        <v>87</v>
      </c>
      <c r="C24" s="47" t="s">
        <v>91</v>
      </c>
      <c r="D24" s="59">
        <f t="shared" si="0"/>
        <v>45169</v>
      </c>
      <c r="E24" s="60">
        <v>45180</v>
      </c>
      <c r="F24" s="13" t="s">
        <v>99</v>
      </c>
      <c r="G24" s="157" t="s">
        <v>100</v>
      </c>
      <c r="H24" s="12" t="s">
        <v>194</v>
      </c>
      <c r="I24" s="12"/>
      <c r="J24" s="14" t="s">
        <v>92</v>
      </c>
      <c r="K24" s="14" t="s">
        <v>4</v>
      </c>
      <c r="L24" s="14" t="s">
        <v>93</v>
      </c>
      <c r="M24" s="14" t="s">
        <v>14</v>
      </c>
      <c r="N24" s="14" t="s">
        <v>17</v>
      </c>
      <c r="O24" s="14" t="s">
        <v>94</v>
      </c>
      <c r="P24" s="14" t="s">
        <v>79</v>
      </c>
      <c r="Q24" s="14" t="s">
        <v>29</v>
      </c>
      <c r="R24" s="62" t="s">
        <v>33</v>
      </c>
      <c r="S24" s="3" t="s">
        <v>95</v>
      </c>
      <c r="T24" s="32" t="s">
        <v>96</v>
      </c>
    </row>
    <row r="25" spans="1:20" s="45" customFormat="1">
      <c r="A25" s="11"/>
      <c r="B25" s="46" t="s">
        <v>87</v>
      </c>
      <c r="C25" s="47" t="s">
        <v>91</v>
      </c>
      <c r="D25" s="59">
        <f t="shared" ref="D25:D28" si="1">WORKDAY(E25,-7,)</f>
        <v>45169</v>
      </c>
      <c r="E25" s="60">
        <v>45180</v>
      </c>
      <c r="F25" s="13" t="s">
        <v>103</v>
      </c>
      <c r="G25" s="157" t="s">
        <v>104</v>
      </c>
      <c r="H25" s="12" t="s">
        <v>194</v>
      </c>
      <c r="I25" s="12"/>
      <c r="J25" s="14" t="s">
        <v>92</v>
      </c>
      <c r="K25" s="14" t="s">
        <v>4</v>
      </c>
      <c r="L25" s="14" t="s">
        <v>93</v>
      </c>
      <c r="M25" s="14" t="s">
        <v>14</v>
      </c>
      <c r="N25" s="14" t="s">
        <v>17</v>
      </c>
      <c r="O25" s="14" t="s">
        <v>94</v>
      </c>
      <c r="P25" s="14" t="s">
        <v>79</v>
      </c>
      <c r="Q25" s="14" t="s">
        <v>29</v>
      </c>
      <c r="R25" s="62" t="s">
        <v>33</v>
      </c>
      <c r="S25" s="3" t="s">
        <v>95</v>
      </c>
      <c r="T25" s="32" t="s">
        <v>96</v>
      </c>
    </row>
    <row r="26" spans="1:20" s="45" customFormat="1" ht="19.149999999999999" customHeight="1">
      <c r="A26" s="11"/>
      <c r="B26" s="46" t="s">
        <v>87</v>
      </c>
      <c r="C26" s="47" t="s">
        <v>91</v>
      </c>
      <c r="D26" s="59">
        <f t="shared" si="1"/>
        <v>45169</v>
      </c>
      <c r="E26" s="60">
        <v>45180</v>
      </c>
      <c r="F26" s="13" t="s">
        <v>105</v>
      </c>
      <c r="G26" s="157" t="s">
        <v>106</v>
      </c>
      <c r="H26" s="12" t="s">
        <v>194</v>
      </c>
      <c r="I26" s="12"/>
      <c r="J26" s="14" t="s">
        <v>92</v>
      </c>
      <c r="K26" s="14" t="s">
        <v>4</v>
      </c>
      <c r="L26" s="14" t="s">
        <v>93</v>
      </c>
      <c r="M26" s="14" t="s">
        <v>14</v>
      </c>
      <c r="N26" s="14" t="s">
        <v>17</v>
      </c>
      <c r="O26" s="14" t="s">
        <v>94</v>
      </c>
      <c r="P26" s="14" t="s">
        <v>79</v>
      </c>
      <c r="Q26" s="14" t="s">
        <v>29</v>
      </c>
      <c r="R26" s="62" t="s">
        <v>33</v>
      </c>
      <c r="S26" s="3" t="s">
        <v>95</v>
      </c>
      <c r="T26" s="32" t="s">
        <v>96</v>
      </c>
    </row>
    <row r="27" spans="1:20" s="45" customFormat="1" ht="19.5" customHeight="1">
      <c r="A27" s="11"/>
      <c r="B27" s="46" t="s">
        <v>87</v>
      </c>
      <c r="C27" s="47" t="s">
        <v>91</v>
      </c>
      <c r="D27" s="59">
        <f t="shared" si="1"/>
        <v>45204</v>
      </c>
      <c r="E27" s="60">
        <v>45215</v>
      </c>
      <c r="F27" s="13" t="s">
        <v>97</v>
      </c>
      <c r="G27" s="158" t="s">
        <v>98</v>
      </c>
      <c r="H27" s="12" t="s">
        <v>196</v>
      </c>
      <c r="I27" s="12"/>
      <c r="J27" s="14" t="s">
        <v>92</v>
      </c>
      <c r="K27" s="14" t="s">
        <v>4</v>
      </c>
      <c r="L27" s="14" t="s">
        <v>93</v>
      </c>
      <c r="M27" s="14" t="s">
        <v>14</v>
      </c>
      <c r="N27" s="14" t="s">
        <v>17</v>
      </c>
      <c r="O27" s="14" t="s">
        <v>94</v>
      </c>
      <c r="P27" s="14" t="s">
        <v>79</v>
      </c>
      <c r="Q27" s="14" t="s">
        <v>29</v>
      </c>
      <c r="R27" s="62" t="s">
        <v>33</v>
      </c>
      <c r="S27" s="3" t="s">
        <v>95</v>
      </c>
      <c r="T27" s="32" t="s">
        <v>96</v>
      </c>
    </row>
    <row r="28" spans="1:20" s="45" customFormat="1">
      <c r="A28" s="11"/>
      <c r="B28" s="46" t="s">
        <v>87</v>
      </c>
      <c r="C28" s="47" t="s">
        <v>91</v>
      </c>
      <c r="D28" s="59">
        <f t="shared" si="1"/>
        <v>45204</v>
      </c>
      <c r="E28" s="60">
        <v>45215</v>
      </c>
      <c r="F28" s="13" t="s">
        <v>99</v>
      </c>
      <c r="G28" s="158" t="s">
        <v>100</v>
      </c>
      <c r="H28" s="12" t="s">
        <v>196</v>
      </c>
      <c r="I28" s="12"/>
      <c r="J28" s="14" t="s">
        <v>92</v>
      </c>
      <c r="K28" s="14" t="s">
        <v>4</v>
      </c>
      <c r="L28" s="14" t="s">
        <v>93</v>
      </c>
      <c r="M28" s="14" t="s">
        <v>14</v>
      </c>
      <c r="N28" s="14" t="s">
        <v>17</v>
      </c>
      <c r="O28" s="14" t="s">
        <v>94</v>
      </c>
      <c r="P28" s="14" t="s">
        <v>79</v>
      </c>
      <c r="Q28" s="14" t="s">
        <v>29</v>
      </c>
      <c r="R28" s="62" t="s">
        <v>33</v>
      </c>
      <c r="S28" s="3" t="s">
        <v>95</v>
      </c>
      <c r="T28" s="32" t="s">
        <v>96</v>
      </c>
    </row>
    <row r="29" spans="1:20" s="45" customFormat="1">
      <c r="A29" s="11"/>
      <c r="B29" s="46" t="s">
        <v>87</v>
      </c>
      <c r="C29" s="47" t="s">
        <v>91</v>
      </c>
      <c r="D29" s="59">
        <f t="shared" ref="D29:D30" si="2">WORKDAY(E29,-7,)</f>
        <v>45204</v>
      </c>
      <c r="E29" s="60">
        <v>45215</v>
      </c>
      <c r="F29" s="13" t="s">
        <v>103</v>
      </c>
      <c r="G29" s="158" t="s">
        <v>104</v>
      </c>
      <c r="H29" s="12" t="s">
        <v>196</v>
      </c>
      <c r="I29" s="12"/>
      <c r="J29" s="14" t="s">
        <v>92</v>
      </c>
      <c r="K29" s="14" t="s">
        <v>4</v>
      </c>
      <c r="L29" s="14" t="s">
        <v>93</v>
      </c>
      <c r="M29" s="14" t="s">
        <v>14</v>
      </c>
      <c r="N29" s="14" t="s">
        <v>17</v>
      </c>
      <c r="O29" s="14" t="s">
        <v>94</v>
      </c>
      <c r="P29" s="14" t="s">
        <v>79</v>
      </c>
      <c r="Q29" s="14" t="s">
        <v>29</v>
      </c>
      <c r="R29" s="62" t="s">
        <v>33</v>
      </c>
      <c r="S29" s="3" t="s">
        <v>95</v>
      </c>
      <c r="T29" s="32" t="s">
        <v>96</v>
      </c>
    </row>
    <row r="30" spans="1:20" s="45" customFormat="1" ht="19.149999999999999" customHeight="1" thickBot="1">
      <c r="A30" s="11"/>
      <c r="B30" s="46" t="s">
        <v>87</v>
      </c>
      <c r="C30" s="47" t="s">
        <v>91</v>
      </c>
      <c r="D30" s="59">
        <f t="shared" si="2"/>
        <v>45204</v>
      </c>
      <c r="E30" s="60">
        <v>45215</v>
      </c>
      <c r="F30" s="13" t="s">
        <v>105</v>
      </c>
      <c r="G30" s="158" t="s">
        <v>106</v>
      </c>
      <c r="H30" s="12" t="s">
        <v>196</v>
      </c>
      <c r="I30" s="12"/>
      <c r="J30" s="14" t="s">
        <v>92</v>
      </c>
      <c r="K30" s="14" t="s">
        <v>4</v>
      </c>
      <c r="L30" s="14" t="s">
        <v>93</v>
      </c>
      <c r="M30" s="14" t="s">
        <v>14</v>
      </c>
      <c r="N30" s="14" t="s">
        <v>17</v>
      </c>
      <c r="O30" s="14" t="s">
        <v>94</v>
      </c>
      <c r="P30" s="14" t="s">
        <v>79</v>
      </c>
      <c r="Q30" s="14" t="s">
        <v>29</v>
      </c>
      <c r="R30" s="62" t="s">
        <v>33</v>
      </c>
      <c r="S30" s="3" t="s">
        <v>95</v>
      </c>
      <c r="T30" s="32" t="s">
        <v>96</v>
      </c>
    </row>
    <row r="31" spans="1:20" s="45" customFormat="1" ht="19.5" customHeight="1" thickBot="1">
      <c r="A31" s="11"/>
      <c r="B31" s="112" t="s">
        <v>102</v>
      </c>
      <c r="C31" s="65"/>
      <c r="D31" s="65"/>
      <c r="E31" s="65"/>
      <c r="F31" s="67"/>
      <c r="G31" s="68"/>
      <c r="H31" s="68"/>
      <c r="I31" s="68"/>
      <c r="J31" s="68"/>
      <c r="K31" s="68"/>
      <c r="L31" s="68"/>
      <c r="M31" s="68"/>
      <c r="N31" s="68"/>
      <c r="O31" s="68"/>
      <c r="P31" s="68"/>
      <c r="Q31" s="68"/>
      <c r="R31" s="68"/>
      <c r="S31" s="69"/>
      <c r="T31" s="70"/>
    </row>
    <row r="32" spans="1:20" s="45" customFormat="1" ht="150">
      <c r="A32" s="51"/>
      <c r="B32" s="46" t="s">
        <v>87</v>
      </c>
      <c r="C32" s="47" t="s">
        <v>36</v>
      </c>
      <c r="D32" s="116">
        <f t="shared" ref="D32:D33" si="3">WORKDAY(E32,-7,)</f>
        <v>45169</v>
      </c>
      <c r="E32" s="60">
        <v>45180</v>
      </c>
      <c r="F32" s="33" t="s">
        <v>107</v>
      </c>
      <c r="G32" s="33" t="s">
        <v>108</v>
      </c>
      <c r="H32" s="12" t="s">
        <v>195</v>
      </c>
      <c r="I32" s="87" t="s">
        <v>109</v>
      </c>
      <c r="J32" s="34" t="s">
        <v>110</v>
      </c>
      <c r="K32" s="12" t="s">
        <v>7</v>
      </c>
      <c r="L32" s="12" t="s">
        <v>79</v>
      </c>
      <c r="M32" s="12" t="s">
        <v>13</v>
      </c>
      <c r="N32" s="12" t="s">
        <v>16</v>
      </c>
      <c r="O32" s="12" t="s">
        <v>94</v>
      </c>
      <c r="P32" s="12" t="s">
        <v>81</v>
      </c>
      <c r="Q32" s="12" t="s">
        <v>31</v>
      </c>
      <c r="R32" s="64" t="s">
        <v>36</v>
      </c>
      <c r="S32" s="120" t="s">
        <v>111</v>
      </c>
      <c r="T32" s="97" t="s">
        <v>182</v>
      </c>
    </row>
    <row r="33" spans="1:20" s="45" customFormat="1" ht="150.75" thickBot="1">
      <c r="A33" s="51"/>
      <c r="B33" s="46" t="s">
        <v>87</v>
      </c>
      <c r="C33" s="47" t="s">
        <v>36</v>
      </c>
      <c r="D33" s="116">
        <f t="shared" si="3"/>
        <v>45169</v>
      </c>
      <c r="E33" s="60">
        <v>45180</v>
      </c>
      <c r="F33" s="33" t="s">
        <v>113</v>
      </c>
      <c r="G33" s="33" t="s">
        <v>108</v>
      </c>
      <c r="H33" s="12" t="s">
        <v>195</v>
      </c>
      <c r="I33" s="87" t="s">
        <v>114</v>
      </c>
      <c r="J33" s="34" t="s">
        <v>115</v>
      </c>
      <c r="K33" s="12" t="s">
        <v>7</v>
      </c>
      <c r="L33" s="12" t="s">
        <v>79</v>
      </c>
      <c r="M33" s="12" t="s">
        <v>13</v>
      </c>
      <c r="N33" s="12" t="s">
        <v>16</v>
      </c>
      <c r="O33" s="12" t="s">
        <v>94</v>
      </c>
      <c r="P33" s="12" t="s">
        <v>81</v>
      </c>
      <c r="Q33" s="12" t="s">
        <v>31</v>
      </c>
      <c r="R33" s="64" t="s">
        <v>36</v>
      </c>
      <c r="S33" s="120" t="s">
        <v>116</v>
      </c>
      <c r="T33" s="97" t="s">
        <v>182</v>
      </c>
    </row>
    <row r="34" spans="1:20" s="45" customFormat="1" ht="19.5" customHeight="1" thickBot="1">
      <c r="A34" s="11"/>
      <c r="B34" s="112" t="s">
        <v>117</v>
      </c>
      <c r="C34" s="65"/>
      <c r="D34" s="65"/>
      <c r="E34" s="65"/>
      <c r="F34" s="67"/>
      <c r="G34" s="68"/>
      <c r="H34" s="68"/>
      <c r="I34" s="68"/>
      <c r="J34" s="68"/>
      <c r="K34" s="68"/>
      <c r="L34" s="68"/>
      <c r="M34" s="68"/>
      <c r="N34" s="68"/>
      <c r="O34" s="68"/>
      <c r="P34" s="68"/>
      <c r="Q34" s="68"/>
      <c r="R34" s="68"/>
      <c r="S34" s="69"/>
      <c r="T34" s="70"/>
    </row>
    <row r="35" spans="1:20" s="45" customFormat="1" ht="37.5">
      <c r="A35" s="11"/>
      <c r="B35" s="46" t="s">
        <v>87</v>
      </c>
      <c r="C35" s="47" t="s">
        <v>197</v>
      </c>
      <c r="D35" s="59">
        <f t="shared" ref="D35:D52" si="4">WORKDAY(E35,-7,)</f>
        <v>45169</v>
      </c>
      <c r="E35" s="60">
        <v>45180</v>
      </c>
      <c r="F35" s="33" t="s">
        <v>200</v>
      </c>
      <c r="G35" s="13"/>
      <c r="H35" s="12" t="s">
        <v>194</v>
      </c>
      <c r="I35" s="12" t="s">
        <v>199</v>
      </c>
      <c r="J35" s="14"/>
      <c r="K35" s="14"/>
      <c r="L35" s="38"/>
      <c r="M35" s="14"/>
      <c r="N35" s="14"/>
      <c r="O35" s="14"/>
      <c r="P35" s="14"/>
      <c r="Q35" s="14"/>
      <c r="R35" s="62"/>
      <c r="S35" s="27"/>
      <c r="T35" s="31"/>
    </row>
    <row r="36" spans="1:20" s="45" customFormat="1" ht="188.25" thickBot="1">
      <c r="A36" s="11"/>
      <c r="B36" s="46" t="s">
        <v>87</v>
      </c>
      <c r="C36" s="47" t="s">
        <v>118</v>
      </c>
      <c r="D36" s="59">
        <f t="shared" ref="D36" si="5">WORKDAY(E36,-7,)</f>
        <v>45204</v>
      </c>
      <c r="E36" s="60">
        <v>45215</v>
      </c>
      <c r="F36" s="33" t="s">
        <v>119</v>
      </c>
      <c r="G36" s="158" t="s">
        <v>120</v>
      </c>
      <c r="H36" s="12" t="s">
        <v>196</v>
      </c>
      <c r="I36" s="12"/>
      <c r="J36" s="14" t="s">
        <v>121</v>
      </c>
      <c r="K36" s="14" t="s">
        <v>10</v>
      </c>
      <c r="L36" s="38" t="s">
        <v>101</v>
      </c>
      <c r="M36" s="14" t="s">
        <v>12</v>
      </c>
      <c r="N36" s="14" t="s">
        <v>16</v>
      </c>
      <c r="O36" s="14" t="s">
        <v>79</v>
      </c>
      <c r="P36" s="14" t="s">
        <v>79</v>
      </c>
      <c r="Q36" s="14" t="s">
        <v>32</v>
      </c>
      <c r="R36" s="62" t="s">
        <v>20</v>
      </c>
      <c r="S36" s="27" t="s">
        <v>122</v>
      </c>
      <c r="T36" s="31" t="s">
        <v>79</v>
      </c>
    </row>
    <row r="37" spans="1:20" s="45" customFormat="1" ht="19.5" customHeight="1">
      <c r="A37" s="11"/>
      <c r="B37" s="117" t="s">
        <v>125</v>
      </c>
      <c r="C37" s="125"/>
      <c r="D37" s="124"/>
      <c r="E37" s="124"/>
      <c r="F37" s="126"/>
      <c r="G37" s="127"/>
      <c r="H37" s="127"/>
      <c r="I37" s="127"/>
      <c r="J37" s="127"/>
      <c r="K37" s="127"/>
      <c r="L37" s="127"/>
      <c r="M37" s="127"/>
      <c r="N37" s="127"/>
      <c r="O37" s="127"/>
      <c r="P37" s="127"/>
      <c r="Q37" s="127"/>
      <c r="R37" s="127"/>
      <c r="S37" s="128"/>
      <c r="T37" s="129"/>
    </row>
    <row r="38" spans="1:20" s="45" customFormat="1" ht="37.5">
      <c r="A38" s="11"/>
      <c r="B38" s="47" t="s">
        <v>87</v>
      </c>
      <c r="C38" s="47" t="s">
        <v>87</v>
      </c>
      <c r="D38" s="118">
        <f t="shared" ref="D38" si="6">WORKDAY(E38,-7,)</f>
        <v>45169</v>
      </c>
      <c r="E38" s="119">
        <v>45180</v>
      </c>
      <c r="F38" s="13" t="s">
        <v>198</v>
      </c>
      <c r="G38" s="33" t="s">
        <v>126</v>
      </c>
      <c r="H38" s="12" t="s">
        <v>192</v>
      </c>
      <c r="I38" s="12" t="s">
        <v>127</v>
      </c>
      <c r="J38" s="34" t="s">
        <v>247</v>
      </c>
      <c r="K38" s="14"/>
      <c r="L38" s="12" t="s">
        <v>128</v>
      </c>
      <c r="M38" s="14" t="s">
        <v>12</v>
      </c>
      <c r="N38" s="12" t="s">
        <v>17</v>
      </c>
      <c r="O38" s="123" t="s">
        <v>246</v>
      </c>
      <c r="P38" s="14"/>
      <c r="Q38" s="14" t="s">
        <v>32</v>
      </c>
      <c r="R38" s="14" t="s">
        <v>20</v>
      </c>
      <c r="S38" s="91"/>
      <c r="T38" s="28"/>
    </row>
    <row r="39" spans="1:20" s="45" customFormat="1">
      <c r="A39" s="11"/>
      <c r="B39" s="47" t="s">
        <v>87</v>
      </c>
      <c r="C39" s="47" t="s">
        <v>87</v>
      </c>
      <c r="D39" s="118">
        <f t="shared" ref="D39" si="7">WORKDAY(E39,-7,)</f>
        <v>45169</v>
      </c>
      <c r="E39" s="119">
        <v>45180</v>
      </c>
      <c r="F39" s="13" t="s">
        <v>205</v>
      </c>
      <c r="G39" s="33" t="s">
        <v>207</v>
      </c>
      <c r="H39" s="12" t="s">
        <v>192</v>
      </c>
      <c r="I39" s="12" t="s">
        <v>245</v>
      </c>
      <c r="J39" s="34"/>
      <c r="K39" s="14"/>
      <c r="L39" s="12"/>
      <c r="M39" s="14"/>
      <c r="N39" s="12"/>
      <c r="O39" s="123"/>
      <c r="P39" s="14"/>
      <c r="Q39" s="14" t="s">
        <v>32</v>
      </c>
      <c r="R39" s="14" t="s">
        <v>20</v>
      </c>
      <c r="S39" s="91"/>
      <c r="T39" s="28"/>
    </row>
    <row r="40" spans="1:20" s="45" customFormat="1" ht="19.149999999999999" customHeight="1" thickBot="1">
      <c r="A40" s="11"/>
      <c r="B40" s="113" t="s">
        <v>129</v>
      </c>
      <c r="C40" s="102"/>
      <c r="D40" s="102"/>
      <c r="E40" s="102"/>
      <c r="F40" s="103"/>
      <c r="G40" s="104"/>
      <c r="H40" s="104"/>
      <c r="I40" s="104"/>
      <c r="J40" s="104"/>
      <c r="K40" s="104"/>
      <c r="L40" s="104"/>
      <c r="M40" s="104"/>
      <c r="N40" s="104"/>
      <c r="O40" s="104"/>
      <c r="P40" s="104"/>
      <c r="Q40" s="104"/>
      <c r="R40" s="104"/>
      <c r="S40" s="105"/>
      <c r="T40" s="106"/>
    </row>
    <row r="41" spans="1:20" s="45" customFormat="1" ht="19.5" thickBot="1">
      <c r="A41" s="11"/>
      <c r="B41" s="112" t="s">
        <v>155</v>
      </c>
      <c r="C41" s="73"/>
      <c r="D41" s="65"/>
      <c r="E41" s="65"/>
      <c r="F41" s="74"/>
      <c r="G41" s="75"/>
      <c r="H41" s="76"/>
      <c r="I41" s="76"/>
      <c r="J41" s="75"/>
      <c r="K41" s="75"/>
      <c r="L41" s="76"/>
      <c r="M41" s="76"/>
      <c r="N41" s="76"/>
      <c r="O41" s="76"/>
      <c r="P41" s="76"/>
      <c r="Q41" s="76"/>
      <c r="R41" s="76"/>
      <c r="S41" s="77"/>
      <c r="T41" s="78"/>
    </row>
    <row r="42" spans="1:20" s="45" customFormat="1" ht="56.25">
      <c r="A42" s="51"/>
      <c r="B42" s="46" t="s">
        <v>155</v>
      </c>
      <c r="C42" s="47" t="s">
        <v>155</v>
      </c>
      <c r="D42" s="59">
        <f t="shared" ref="D42" si="8">WORKDAY(E42,-7,)</f>
        <v>45169</v>
      </c>
      <c r="E42" s="60">
        <v>45180</v>
      </c>
      <c r="F42" s="13" t="s">
        <v>201</v>
      </c>
      <c r="G42" s="12" t="s">
        <v>112</v>
      </c>
      <c r="H42" s="12" t="s">
        <v>194</v>
      </c>
      <c r="I42" s="12"/>
      <c r="J42" s="12" t="s">
        <v>123</v>
      </c>
      <c r="K42" s="12" t="s">
        <v>9</v>
      </c>
      <c r="L42" s="12" t="s">
        <v>160</v>
      </c>
      <c r="M42" s="12" t="s">
        <v>12</v>
      </c>
      <c r="N42" s="12" t="s">
        <v>16</v>
      </c>
      <c r="O42" s="12" t="s">
        <v>161</v>
      </c>
      <c r="P42" s="12" t="s">
        <v>79</v>
      </c>
      <c r="Q42" s="12" t="s">
        <v>32</v>
      </c>
      <c r="R42" s="64" t="s">
        <v>20</v>
      </c>
      <c r="S42" s="96" t="s">
        <v>162</v>
      </c>
      <c r="T42" s="99" t="s">
        <v>163</v>
      </c>
    </row>
    <row r="43" spans="1:20" s="45" customFormat="1" ht="75.75" thickBot="1">
      <c r="A43" s="11"/>
      <c r="B43" s="46" t="s">
        <v>155</v>
      </c>
      <c r="C43" s="47" t="s">
        <v>155</v>
      </c>
      <c r="D43" s="59">
        <f>WORKDAY(E43,-7,)</f>
        <v>45204</v>
      </c>
      <c r="E43" s="60">
        <v>45215</v>
      </c>
      <c r="F43" s="13" t="s">
        <v>156</v>
      </c>
      <c r="G43" s="12" t="s">
        <v>112</v>
      </c>
      <c r="H43" s="12" t="s">
        <v>202</v>
      </c>
      <c r="I43" s="12"/>
      <c r="J43" s="14" t="s">
        <v>157</v>
      </c>
      <c r="K43" s="14" t="s">
        <v>9</v>
      </c>
      <c r="L43" s="14" t="s">
        <v>124</v>
      </c>
      <c r="M43" s="14" t="s">
        <v>14</v>
      </c>
      <c r="N43" s="14" t="s">
        <v>17</v>
      </c>
      <c r="O43" s="14" t="s">
        <v>79</v>
      </c>
      <c r="P43" s="14" t="s">
        <v>79</v>
      </c>
      <c r="Q43" s="14" t="s">
        <v>32</v>
      </c>
      <c r="R43" s="62" t="s">
        <v>20</v>
      </c>
      <c r="S43" s="27" t="s">
        <v>158</v>
      </c>
      <c r="T43" s="15" t="s">
        <v>159</v>
      </c>
    </row>
    <row r="44" spans="1:20" s="45" customFormat="1" ht="19.5" thickBot="1">
      <c r="A44" s="11"/>
      <c r="B44" s="112" t="s">
        <v>131</v>
      </c>
      <c r="C44" s="73"/>
      <c r="D44" s="65"/>
      <c r="E44" s="65"/>
      <c r="F44" s="74"/>
      <c r="G44" s="75"/>
      <c r="H44" s="76"/>
      <c r="I44" s="76"/>
      <c r="J44" s="75"/>
      <c r="K44" s="75"/>
      <c r="L44" s="76"/>
      <c r="M44" s="76"/>
      <c r="N44" s="76"/>
      <c r="O44" s="76"/>
      <c r="P44" s="76"/>
      <c r="Q44" s="76"/>
      <c r="R44" s="76"/>
      <c r="S44" s="77"/>
      <c r="T44" s="78"/>
    </row>
    <row r="45" spans="1:20" s="45" customFormat="1" ht="33" customHeight="1" thickBot="1">
      <c r="A45" s="41"/>
      <c r="B45" s="89" t="s">
        <v>130</v>
      </c>
      <c r="C45" s="82"/>
      <c r="D45" s="59"/>
      <c r="E45" s="60"/>
      <c r="F45" s="82"/>
      <c r="G45" s="82"/>
      <c r="H45" s="82"/>
      <c r="I45" s="82"/>
      <c r="J45" s="83"/>
      <c r="K45" s="44"/>
      <c r="L45" s="42"/>
      <c r="M45" s="42"/>
      <c r="N45" s="42"/>
      <c r="O45" s="42"/>
      <c r="P45" s="42"/>
      <c r="Q45" s="42"/>
      <c r="R45" s="42"/>
      <c r="S45" s="43"/>
      <c r="T45" s="50"/>
    </row>
    <row r="46" spans="1:20" s="45" customFormat="1" ht="131.25">
      <c r="A46" s="51"/>
      <c r="B46" s="57" t="s">
        <v>132</v>
      </c>
      <c r="C46" s="71" t="s">
        <v>133</v>
      </c>
      <c r="D46" s="59">
        <f t="shared" si="4"/>
        <v>45204</v>
      </c>
      <c r="E46" s="60">
        <v>45215</v>
      </c>
      <c r="F46" s="61" t="s">
        <v>134</v>
      </c>
      <c r="G46" s="100" t="s">
        <v>249</v>
      </c>
      <c r="H46" s="64" t="s">
        <v>202</v>
      </c>
      <c r="I46" s="12"/>
      <c r="J46" s="64" t="s">
        <v>135</v>
      </c>
      <c r="K46" s="64" t="s">
        <v>9</v>
      </c>
      <c r="L46" s="64" t="s">
        <v>136</v>
      </c>
      <c r="M46" s="64" t="s">
        <v>12</v>
      </c>
      <c r="N46" s="64" t="s">
        <v>16</v>
      </c>
      <c r="O46" s="64" t="s">
        <v>137</v>
      </c>
      <c r="P46" s="64" t="s">
        <v>81</v>
      </c>
      <c r="Q46" s="64" t="s">
        <v>32</v>
      </c>
      <c r="R46" s="64" t="s">
        <v>20</v>
      </c>
      <c r="S46" s="101" t="s">
        <v>183</v>
      </c>
      <c r="T46" s="97" t="s">
        <v>138</v>
      </c>
    </row>
    <row r="47" spans="1:20" s="45" customFormat="1" ht="112.5">
      <c r="A47" s="51"/>
      <c r="B47" s="46" t="s">
        <v>132</v>
      </c>
      <c r="C47" s="49" t="s">
        <v>139</v>
      </c>
      <c r="D47" s="116">
        <f t="shared" si="4"/>
        <v>45204</v>
      </c>
      <c r="E47" s="60">
        <v>45215</v>
      </c>
      <c r="F47" s="13" t="s">
        <v>140</v>
      </c>
      <c r="G47" s="34" t="s">
        <v>206</v>
      </c>
      <c r="H47" s="64" t="s">
        <v>202</v>
      </c>
      <c r="I47" s="12"/>
      <c r="J47" s="34" t="s">
        <v>141</v>
      </c>
      <c r="K47" s="12" t="s">
        <v>9</v>
      </c>
      <c r="L47" s="12" t="s">
        <v>142</v>
      </c>
      <c r="M47" s="12" t="s">
        <v>13</v>
      </c>
      <c r="N47" s="12" t="s">
        <v>16</v>
      </c>
      <c r="O47" s="64" t="s">
        <v>137</v>
      </c>
      <c r="P47" s="12" t="s">
        <v>79</v>
      </c>
      <c r="Q47" s="12" t="s">
        <v>32</v>
      </c>
      <c r="R47" s="64" t="s">
        <v>20</v>
      </c>
      <c r="S47" s="96" t="s">
        <v>143</v>
      </c>
      <c r="T47" s="97" t="s">
        <v>144</v>
      </c>
    </row>
    <row r="48" spans="1:20" s="45" customFormat="1" ht="75">
      <c r="A48" s="51"/>
      <c r="B48" s="46" t="s">
        <v>132</v>
      </c>
      <c r="C48" s="49" t="s">
        <v>139</v>
      </c>
      <c r="D48" s="116">
        <f t="shared" si="4"/>
        <v>45204</v>
      </c>
      <c r="E48" s="60">
        <v>45215</v>
      </c>
      <c r="F48" s="13" t="s">
        <v>145</v>
      </c>
      <c r="G48" s="34" t="s">
        <v>206</v>
      </c>
      <c r="H48" s="64" t="s">
        <v>202</v>
      </c>
      <c r="I48" s="12"/>
      <c r="J48" s="34" t="s">
        <v>146</v>
      </c>
      <c r="K48" s="12" t="s">
        <v>9</v>
      </c>
      <c r="L48" s="12" t="s">
        <v>147</v>
      </c>
      <c r="M48" s="12" t="s">
        <v>14</v>
      </c>
      <c r="N48" s="12" t="s">
        <v>17</v>
      </c>
      <c r="O48" s="64" t="s">
        <v>79</v>
      </c>
      <c r="P48" s="12" t="s">
        <v>79</v>
      </c>
      <c r="Q48" s="12" t="s">
        <v>32</v>
      </c>
      <c r="R48" s="64" t="s">
        <v>20</v>
      </c>
      <c r="S48" s="96" t="s">
        <v>148</v>
      </c>
      <c r="T48" s="121" t="s">
        <v>149</v>
      </c>
    </row>
    <row r="49" spans="1:20" s="45" customFormat="1" ht="169.5" thickBot="1">
      <c r="A49" s="11"/>
      <c r="B49" s="46" t="s">
        <v>132</v>
      </c>
      <c r="C49" s="48" t="s">
        <v>133</v>
      </c>
      <c r="D49" s="59">
        <f t="shared" si="4"/>
        <v>45204</v>
      </c>
      <c r="E49" s="60">
        <v>45215</v>
      </c>
      <c r="F49" s="13" t="s">
        <v>150</v>
      </c>
      <c r="G49" s="28" t="s">
        <v>151</v>
      </c>
      <c r="H49" s="64" t="s">
        <v>202</v>
      </c>
      <c r="I49" s="12"/>
      <c r="J49" s="14" t="s">
        <v>152</v>
      </c>
      <c r="K49" s="14" t="s">
        <v>9</v>
      </c>
      <c r="L49" s="14" t="s">
        <v>153</v>
      </c>
      <c r="M49" s="14" t="s">
        <v>14</v>
      </c>
      <c r="N49" s="14" t="s">
        <v>17</v>
      </c>
      <c r="O49" s="14" t="s">
        <v>79</v>
      </c>
      <c r="P49" s="14" t="s">
        <v>79</v>
      </c>
      <c r="Q49" s="14" t="s">
        <v>32</v>
      </c>
      <c r="R49" s="62" t="s">
        <v>20</v>
      </c>
      <c r="S49" s="27" t="s">
        <v>184</v>
      </c>
      <c r="T49" s="32" t="s">
        <v>154</v>
      </c>
    </row>
    <row r="50" spans="1:20" s="45" customFormat="1" ht="19.5" thickBot="1">
      <c r="A50" s="11"/>
      <c r="B50" s="112" t="s">
        <v>164</v>
      </c>
      <c r="C50" s="73"/>
      <c r="D50" s="65"/>
      <c r="E50" s="65"/>
      <c r="F50" s="74"/>
      <c r="G50" s="75"/>
      <c r="H50" s="76"/>
      <c r="I50" s="76"/>
      <c r="J50" s="75"/>
      <c r="K50" s="75"/>
      <c r="L50" s="76"/>
      <c r="M50" s="76"/>
      <c r="N50" s="76"/>
      <c r="O50" s="76"/>
      <c r="P50" s="76"/>
      <c r="Q50" s="76"/>
      <c r="R50" s="76"/>
      <c r="S50" s="77"/>
      <c r="T50" s="78"/>
    </row>
    <row r="51" spans="1:20" s="45" customFormat="1" ht="93.75">
      <c r="A51" s="11"/>
      <c r="B51" s="46" t="s">
        <v>165</v>
      </c>
      <c r="C51" s="47" t="s">
        <v>164</v>
      </c>
      <c r="D51" s="59">
        <f t="shared" si="4"/>
        <v>45204</v>
      </c>
      <c r="E51" s="60">
        <v>45215</v>
      </c>
      <c r="F51" s="13" t="s">
        <v>167</v>
      </c>
      <c r="G51" s="28" t="s">
        <v>203</v>
      </c>
      <c r="H51" s="64" t="s">
        <v>202</v>
      </c>
      <c r="I51" s="12"/>
      <c r="J51" s="14" t="s">
        <v>168</v>
      </c>
      <c r="K51" s="14" t="s">
        <v>9</v>
      </c>
      <c r="L51" s="14" t="s">
        <v>169</v>
      </c>
      <c r="M51" s="14" t="s">
        <v>14</v>
      </c>
      <c r="N51" s="14" t="s">
        <v>17</v>
      </c>
      <c r="O51" s="14" t="s">
        <v>79</v>
      </c>
      <c r="P51" s="14" t="s">
        <v>79</v>
      </c>
      <c r="Q51" s="14" t="s">
        <v>32</v>
      </c>
      <c r="R51" s="62" t="s">
        <v>20</v>
      </c>
      <c r="S51" s="27" t="s">
        <v>170</v>
      </c>
      <c r="T51" s="15" t="s">
        <v>166</v>
      </c>
    </row>
    <row r="52" spans="1:20" s="45" customFormat="1" ht="168.75">
      <c r="A52" s="51"/>
      <c r="B52" s="46" t="s">
        <v>165</v>
      </c>
      <c r="C52" s="47" t="s">
        <v>164</v>
      </c>
      <c r="D52" s="59">
        <f t="shared" si="4"/>
        <v>45204</v>
      </c>
      <c r="E52" s="60">
        <v>45215</v>
      </c>
      <c r="F52" s="13" t="s">
        <v>171</v>
      </c>
      <c r="G52" s="28" t="s">
        <v>204</v>
      </c>
      <c r="H52" s="64" t="s">
        <v>202</v>
      </c>
      <c r="I52" s="12"/>
      <c r="J52" s="34" t="s">
        <v>172</v>
      </c>
      <c r="K52" s="12" t="s">
        <v>9</v>
      </c>
      <c r="L52" s="12" t="s">
        <v>173</v>
      </c>
      <c r="M52" s="12" t="s">
        <v>12</v>
      </c>
      <c r="N52" s="12" t="s">
        <v>16</v>
      </c>
      <c r="O52" s="12" t="s">
        <v>174</v>
      </c>
      <c r="P52" s="12" t="s">
        <v>175</v>
      </c>
      <c r="Q52" s="12" t="s">
        <v>32</v>
      </c>
      <c r="R52" s="64" t="s">
        <v>20</v>
      </c>
      <c r="S52" s="96" t="s">
        <v>176</v>
      </c>
      <c r="T52" s="97" t="s">
        <v>177</v>
      </c>
    </row>
    <row r="54" spans="1:20">
      <c r="B54" s="22"/>
      <c r="C54" s="39"/>
    </row>
    <row r="55" spans="1:20">
      <c r="B55" s="22"/>
      <c r="C55" s="40"/>
    </row>
    <row r="57" spans="1:20">
      <c r="C57" s="16"/>
    </row>
    <row r="58" spans="1:20" ht="15" customHeight="1">
      <c r="B58" s="17"/>
      <c r="C58" s="16"/>
    </row>
    <row r="59" spans="1:20" ht="15" customHeight="1">
      <c r="B59" s="17"/>
      <c r="C59" s="16"/>
    </row>
    <row r="60" spans="1:20" ht="15" customHeight="1">
      <c r="B60" s="55"/>
    </row>
    <row r="61" spans="1:20">
      <c r="B61" s="54"/>
    </row>
    <row r="62" spans="1:20">
      <c r="B62" s="55"/>
      <c r="C62" s="17"/>
    </row>
    <row r="63" spans="1:20">
      <c r="B63" s="55"/>
    </row>
    <row r="64" spans="1:20">
      <c r="B64" s="56"/>
    </row>
    <row r="65" spans="2:21">
      <c r="B65" s="20"/>
      <c r="C65" s="18"/>
    </row>
    <row r="66" spans="2:21">
      <c r="B66" s="19"/>
    </row>
    <row r="67" spans="2:21" ht="21">
      <c r="B67" s="36" t="s">
        <v>178</v>
      </c>
    </row>
    <row r="68" spans="2:21">
      <c r="B68" s="37" t="s">
        <v>179</v>
      </c>
    </row>
    <row r="69" spans="2:21">
      <c r="B69" s="17" t="s">
        <v>180</v>
      </c>
    </row>
    <row r="72" spans="2:21">
      <c r="E72" s="21"/>
      <c r="F72" s="22"/>
      <c r="G72" s="23"/>
      <c r="J72" s="23"/>
      <c r="K72" s="23"/>
      <c r="M72" s="23"/>
      <c r="N72" s="23"/>
      <c r="O72" s="23"/>
    </row>
    <row r="73" spans="2:21">
      <c r="E73" s="24"/>
      <c r="F73" s="22"/>
      <c r="G73" s="23"/>
      <c r="J73" s="23"/>
      <c r="K73" s="23"/>
      <c r="M73" s="23"/>
      <c r="N73" s="23"/>
      <c r="O73" s="23"/>
    </row>
    <row r="74" spans="2:21">
      <c r="E74" s="25"/>
      <c r="F74" s="22"/>
      <c r="G74" s="23"/>
      <c r="J74" s="23"/>
      <c r="K74" s="23"/>
      <c r="M74" s="23"/>
      <c r="N74" s="23"/>
      <c r="O74" s="23"/>
    </row>
    <row r="75" spans="2:21">
      <c r="E75" s="23"/>
      <c r="F75" s="22"/>
      <c r="G75" s="23"/>
      <c r="J75" s="23"/>
      <c r="K75" s="23"/>
      <c r="M75" s="23"/>
      <c r="N75" s="23"/>
      <c r="O75" s="23"/>
    </row>
    <row r="77" spans="2:21">
      <c r="U77" s="53"/>
    </row>
    <row r="79" spans="2:21">
      <c r="M79" s="26"/>
      <c r="N79" s="26"/>
      <c r="O79" s="26"/>
    </row>
    <row r="80" spans="2:21">
      <c r="M80" s="26"/>
      <c r="N80" s="26"/>
      <c r="O80" s="26"/>
    </row>
    <row r="81" spans="13:15">
      <c r="M81" s="26"/>
      <c r="N81" s="26"/>
      <c r="O81" s="26"/>
    </row>
    <row r="82" spans="13:15">
      <c r="M82" s="26"/>
      <c r="N82" s="26"/>
      <c r="O82" s="26"/>
    </row>
    <row r="83" spans="13:15">
      <c r="M83" s="26"/>
      <c r="N83" s="26"/>
      <c r="O83" s="26"/>
    </row>
  </sheetData>
  <mergeCells count="7">
    <mergeCell ref="B4:C4"/>
    <mergeCell ref="B17:C17"/>
    <mergeCell ref="F17:R17"/>
    <mergeCell ref="D17:E17"/>
    <mergeCell ref="E6:H8"/>
    <mergeCell ref="E11:H15"/>
    <mergeCell ref="I11:I15"/>
  </mergeCells>
  <phoneticPr fontId="38" type="noConversion"/>
  <hyperlinks>
    <hyperlink ref="T46" r:id="rId1" xr:uid="{B0C9EFF6-B535-4872-BC09-E0AD4C4F37B6}"/>
    <hyperlink ref="T52" r:id="rId2" xr:uid="{F0517229-9486-48CA-9EB9-B5C6A0E1E8A3}"/>
    <hyperlink ref="C11" r:id="rId3" xr:uid="{38DC260D-CA23-48BB-B03B-288220D044B9}"/>
    <hyperlink ref="T48" r:id="rId4" xr:uid="{B861969B-A121-4943-A40D-CEA923977440}"/>
    <hyperlink ref="C13" r:id="rId5" xr:uid="{496C073C-CA23-410B-A960-4C34CCBDE4AA}"/>
    <hyperlink ref="T43" r:id="rId6" xr:uid="{9E0074CE-4F06-485C-8C76-895C080F9B0E}"/>
  </hyperlinks>
  <printOptions horizontalCentered="1"/>
  <pageMargins left="0.19685039370078741" right="0.19685039370078741" top="0.19685039370078741" bottom="0.15748031496062992" header="0.15748031496062992" footer="0.24"/>
  <pageSetup paperSize="8" scale="10" orientation="landscape" horizontalDpi="300" verticalDpi="300" r:id="rId7"/>
  <headerFooter alignWithMargins="0"/>
  <drawing r:id="rId8"/>
  <extLst>
    <ext xmlns:x14="http://schemas.microsoft.com/office/spreadsheetml/2009/9/main" uri="{CCE6A557-97BC-4b89-ADB6-D9C93CAAB3DF}">
      <x14:dataValidations xmlns:xm="http://schemas.microsoft.com/office/excel/2006/main" count="6">
        <x14:dataValidation type="list" allowBlank="1" showInputMessage="1" showErrorMessage="1" xr:uid="{AE9946D4-E431-4255-8B3A-72CFF53AC762}">
          <x14:formula1>
            <xm:f>Data!$A$1:$A$4</xm:f>
          </x14:formula1>
          <xm:sqref>C6</xm:sqref>
        </x14:dataValidation>
        <x14:dataValidation type="list" allowBlank="1" showInputMessage="1" showErrorMessage="1" xr:uid="{A89965C3-AB6B-4C4E-98F7-D63F7D6AE82A}">
          <x14:formula1>
            <xm:f>Data!$A$14:$A$16</xm:f>
          </x14:formula1>
          <xm:sqref>M46:M49 M20:M21 M23:M30 M35:M36 M51 M42:M43</xm:sqref>
        </x14:dataValidation>
        <x14:dataValidation type="list" allowBlank="1" showInputMessage="1" showErrorMessage="1" xr:uid="{70324857-72F4-4C9E-9E84-CB9B086F10F7}">
          <x14:formula1>
            <xm:f>Data!$A$18:$A$20</xm:f>
          </x14:formula1>
          <xm:sqref>N46:N49 N20:N21 N23:N30 N35:N36 N51 N42:N43</xm:sqref>
        </x14:dataValidation>
        <x14:dataValidation type="list" allowBlank="1" showInputMessage="1" showErrorMessage="1" xr:uid="{70A3EAF5-8D49-4B45-A264-1ADC43800BF6}">
          <x14:formula1>
            <xm:f>Data!$A$37:$A$40</xm:f>
          </x14:formula1>
          <xm:sqref>Q46:Q49 Q20:Q21 Q23:Q30 Q35:Q36 Q51 Q42:Q43</xm:sqref>
        </x14:dataValidation>
        <x14:dataValidation type="list" allowBlank="1" showInputMessage="1" showErrorMessage="1" xr:uid="{B8077C62-1425-4758-8A5E-6B4725927B67}">
          <x14:formula1>
            <xm:f>Data!$A$5:$A$12</xm:f>
          </x14:formula1>
          <xm:sqref>K46:K49 K20:K21 K23:K30 K35:K36 K51 K42:K43</xm:sqref>
        </x14:dataValidation>
        <x14:dataValidation type="list" allowBlank="1" showInputMessage="1" showErrorMessage="1" xr:uid="{48D4A96E-9563-47F3-B961-3306146BC997}">
          <x14:formula1>
            <xm:f>Data!$A$42:$A$47</xm:f>
          </x14:formula1>
          <xm:sqref>R46:R49 R20:R21 R23:R30 R35:R36 R51 R42:R43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250-B953-4FD4-AADD-ADF745F977D9}">
  <sheetPr>
    <tabColor rgb="FFFFFF00"/>
  </sheetPr>
  <dimension ref="A1"/>
  <sheetViews>
    <sheetView workbookViewId="0">
      <selection activeCell="P17" sqref="P17"/>
    </sheetView>
  </sheetViews>
  <sheetFormatPr defaultColWidth="8.85546875" defaultRowHeight="12.75"/>
  <cols>
    <col min="1" max="16384" width="8.85546875" style="29"/>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AF56-EB8C-4159-B6E8-BBE4CECBE332}">
  <sheetPr>
    <tabColor theme="8" tint="0.39997558519241921"/>
  </sheetPr>
  <dimension ref="A1"/>
  <sheetViews>
    <sheetView workbookViewId="0">
      <selection activeCell="B44" sqref="B44"/>
    </sheetView>
  </sheetViews>
  <sheetFormatPr defaultColWidth="9.140625" defaultRowHeight="12.75"/>
  <cols>
    <col min="1" max="16384" width="9.140625" style="29"/>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AA91"/>
  <sheetViews>
    <sheetView topLeftCell="A7" workbookViewId="0">
      <selection activeCell="B2" sqref="B2:AA91"/>
    </sheetView>
  </sheetViews>
  <sheetFormatPr defaultColWidth="9.140625" defaultRowHeight="12.75"/>
  <cols>
    <col min="1" max="1" width="1.42578125" style="29" customWidth="1"/>
    <col min="2" max="16384" width="9.140625" style="29"/>
  </cols>
  <sheetData>
    <row r="1" spans="2:27" ht="6" customHeight="1" thickBot="1"/>
    <row r="2" spans="2:27" ht="12.75" customHeight="1">
      <c r="B2" s="148" t="s">
        <v>181</v>
      </c>
      <c r="C2" s="149"/>
      <c r="D2" s="149"/>
      <c r="E2" s="149"/>
      <c r="F2" s="149"/>
      <c r="G2" s="149"/>
      <c r="H2" s="149"/>
      <c r="I2" s="149"/>
      <c r="J2" s="149"/>
      <c r="K2" s="149"/>
      <c r="L2" s="149"/>
      <c r="M2" s="149"/>
      <c r="N2" s="149"/>
      <c r="O2" s="149"/>
      <c r="P2" s="149"/>
      <c r="Q2" s="149"/>
      <c r="R2" s="149"/>
      <c r="S2" s="149"/>
      <c r="T2" s="149"/>
      <c r="U2" s="149"/>
      <c r="V2" s="149"/>
      <c r="W2" s="149"/>
      <c r="X2" s="149"/>
      <c r="Y2" s="149"/>
      <c r="Z2" s="149"/>
      <c r="AA2" s="150"/>
    </row>
    <row r="3" spans="2:27">
      <c r="B3" s="151"/>
      <c r="C3" s="152"/>
      <c r="D3" s="152"/>
      <c r="E3" s="152"/>
      <c r="F3" s="152"/>
      <c r="G3" s="152"/>
      <c r="H3" s="152"/>
      <c r="I3" s="152"/>
      <c r="J3" s="152"/>
      <c r="K3" s="152"/>
      <c r="L3" s="152"/>
      <c r="M3" s="152"/>
      <c r="N3" s="152"/>
      <c r="O3" s="152"/>
      <c r="P3" s="152"/>
      <c r="Q3" s="152"/>
      <c r="R3" s="152"/>
      <c r="S3" s="152"/>
      <c r="T3" s="152"/>
      <c r="U3" s="152"/>
      <c r="V3" s="152"/>
      <c r="W3" s="152"/>
      <c r="X3" s="152"/>
      <c r="Y3" s="152"/>
      <c r="Z3" s="152"/>
      <c r="AA3" s="153"/>
    </row>
    <row r="4" spans="2:27">
      <c r="B4" s="151"/>
      <c r="C4" s="152"/>
      <c r="D4" s="152"/>
      <c r="E4" s="152"/>
      <c r="F4" s="152"/>
      <c r="G4" s="152"/>
      <c r="H4" s="152"/>
      <c r="I4" s="152"/>
      <c r="J4" s="152"/>
      <c r="K4" s="152"/>
      <c r="L4" s="152"/>
      <c r="M4" s="152"/>
      <c r="N4" s="152"/>
      <c r="O4" s="152"/>
      <c r="P4" s="152"/>
      <c r="Q4" s="152"/>
      <c r="R4" s="152"/>
      <c r="S4" s="152"/>
      <c r="T4" s="152"/>
      <c r="U4" s="152"/>
      <c r="V4" s="152"/>
      <c r="W4" s="152"/>
      <c r="X4" s="152"/>
      <c r="Y4" s="152"/>
      <c r="Z4" s="152"/>
      <c r="AA4" s="153"/>
    </row>
    <row r="5" spans="2:27">
      <c r="B5" s="151"/>
      <c r="C5" s="152"/>
      <c r="D5" s="152"/>
      <c r="E5" s="152"/>
      <c r="F5" s="152"/>
      <c r="G5" s="152"/>
      <c r="H5" s="152"/>
      <c r="I5" s="152"/>
      <c r="J5" s="152"/>
      <c r="K5" s="152"/>
      <c r="L5" s="152"/>
      <c r="M5" s="152"/>
      <c r="N5" s="152"/>
      <c r="O5" s="152"/>
      <c r="P5" s="152"/>
      <c r="Q5" s="152"/>
      <c r="R5" s="152"/>
      <c r="S5" s="152"/>
      <c r="T5" s="152"/>
      <c r="U5" s="152"/>
      <c r="V5" s="152"/>
      <c r="W5" s="152"/>
      <c r="X5" s="152"/>
      <c r="Y5" s="152"/>
      <c r="Z5" s="152"/>
      <c r="AA5" s="153"/>
    </row>
    <row r="6" spans="2:27">
      <c r="B6" s="151"/>
      <c r="C6" s="152"/>
      <c r="D6" s="152"/>
      <c r="E6" s="152"/>
      <c r="F6" s="152"/>
      <c r="G6" s="152"/>
      <c r="H6" s="152"/>
      <c r="I6" s="152"/>
      <c r="J6" s="152"/>
      <c r="K6" s="152"/>
      <c r="L6" s="152"/>
      <c r="M6" s="152"/>
      <c r="N6" s="152"/>
      <c r="O6" s="152"/>
      <c r="P6" s="152"/>
      <c r="Q6" s="152"/>
      <c r="R6" s="152"/>
      <c r="S6" s="152"/>
      <c r="T6" s="152"/>
      <c r="U6" s="152"/>
      <c r="V6" s="152"/>
      <c r="W6" s="152"/>
      <c r="X6" s="152"/>
      <c r="Y6" s="152"/>
      <c r="Z6" s="152"/>
      <c r="AA6" s="153"/>
    </row>
    <row r="7" spans="2:27">
      <c r="B7" s="151"/>
      <c r="C7" s="152"/>
      <c r="D7" s="152"/>
      <c r="E7" s="152"/>
      <c r="F7" s="152"/>
      <c r="G7" s="152"/>
      <c r="H7" s="152"/>
      <c r="I7" s="152"/>
      <c r="J7" s="152"/>
      <c r="K7" s="152"/>
      <c r="L7" s="152"/>
      <c r="M7" s="152"/>
      <c r="N7" s="152"/>
      <c r="O7" s="152"/>
      <c r="P7" s="152"/>
      <c r="Q7" s="152"/>
      <c r="R7" s="152"/>
      <c r="S7" s="152"/>
      <c r="T7" s="152"/>
      <c r="U7" s="152"/>
      <c r="V7" s="152"/>
      <c r="W7" s="152"/>
      <c r="X7" s="152"/>
      <c r="Y7" s="152"/>
      <c r="Z7" s="152"/>
      <c r="AA7" s="153"/>
    </row>
    <row r="8" spans="2:27">
      <c r="B8" s="151"/>
      <c r="C8" s="152"/>
      <c r="D8" s="152"/>
      <c r="E8" s="152"/>
      <c r="F8" s="152"/>
      <c r="G8" s="152"/>
      <c r="H8" s="152"/>
      <c r="I8" s="152"/>
      <c r="J8" s="152"/>
      <c r="K8" s="152"/>
      <c r="L8" s="152"/>
      <c r="M8" s="152"/>
      <c r="N8" s="152"/>
      <c r="O8" s="152"/>
      <c r="P8" s="152"/>
      <c r="Q8" s="152"/>
      <c r="R8" s="152"/>
      <c r="S8" s="152"/>
      <c r="T8" s="152"/>
      <c r="U8" s="152"/>
      <c r="V8" s="152"/>
      <c r="W8" s="152"/>
      <c r="X8" s="152"/>
      <c r="Y8" s="152"/>
      <c r="Z8" s="152"/>
      <c r="AA8" s="153"/>
    </row>
    <row r="9" spans="2:27">
      <c r="B9" s="151"/>
      <c r="C9" s="152"/>
      <c r="D9" s="152"/>
      <c r="E9" s="152"/>
      <c r="F9" s="152"/>
      <c r="G9" s="152"/>
      <c r="H9" s="152"/>
      <c r="I9" s="152"/>
      <c r="J9" s="152"/>
      <c r="K9" s="152"/>
      <c r="L9" s="152"/>
      <c r="M9" s="152"/>
      <c r="N9" s="152"/>
      <c r="O9" s="152"/>
      <c r="P9" s="152"/>
      <c r="Q9" s="152"/>
      <c r="R9" s="152"/>
      <c r="S9" s="152"/>
      <c r="T9" s="152"/>
      <c r="U9" s="152"/>
      <c r="V9" s="152"/>
      <c r="W9" s="152"/>
      <c r="X9" s="152"/>
      <c r="Y9" s="152"/>
      <c r="Z9" s="152"/>
      <c r="AA9" s="153"/>
    </row>
    <row r="10" spans="2:27">
      <c r="B10" s="151"/>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3"/>
    </row>
    <row r="11" spans="2:27">
      <c r="B11" s="151"/>
      <c r="C11" s="152"/>
      <c r="D11" s="152"/>
      <c r="E11" s="152"/>
      <c r="F11" s="152"/>
      <c r="G11" s="152"/>
      <c r="H11" s="152"/>
      <c r="I11" s="152"/>
      <c r="J11" s="152"/>
      <c r="K11" s="152"/>
      <c r="L11" s="152"/>
      <c r="M11" s="152"/>
      <c r="N11" s="152"/>
      <c r="O11" s="152"/>
      <c r="P11" s="152"/>
      <c r="Q11" s="152"/>
      <c r="R11" s="152"/>
      <c r="S11" s="152"/>
      <c r="T11" s="152"/>
      <c r="U11" s="152"/>
      <c r="V11" s="152"/>
      <c r="W11" s="152"/>
      <c r="X11" s="152"/>
      <c r="Y11" s="152"/>
      <c r="Z11" s="152"/>
      <c r="AA11" s="153"/>
    </row>
    <row r="12" spans="2:27">
      <c r="B12" s="151"/>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3"/>
    </row>
    <row r="13" spans="2:27">
      <c r="B13" s="151"/>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3"/>
    </row>
    <row r="14" spans="2:27">
      <c r="B14" s="151"/>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3"/>
    </row>
    <row r="15" spans="2:27">
      <c r="B15" s="151"/>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152"/>
      <c r="AA15" s="153"/>
    </row>
    <row r="16" spans="2:27">
      <c r="B16" s="151"/>
      <c r="C16" s="152"/>
      <c r="D16" s="152"/>
      <c r="E16" s="152"/>
      <c r="F16" s="152"/>
      <c r="G16" s="152"/>
      <c r="H16" s="152"/>
      <c r="I16" s="152"/>
      <c r="J16" s="152"/>
      <c r="K16" s="152"/>
      <c r="L16" s="152"/>
      <c r="M16" s="152"/>
      <c r="N16" s="152"/>
      <c r="O16" s="152"/>
      <c r="P16" s="152"/>
      <c r="Q16" s="152"/>
      <c r="R16" s="152"/>
      <c r="S16" s="152"/>
      <c r="T16" s="152"/>
      <c r="U16" s="152"/>
      <c r="V16" s="152"/>
      <c r="W16" s="152"/>
      <c r="X16" s="152"/>
      <c r="Y16" s="152"/>
      <c r="Z16" s="152"/>
      <c r="AA16" s="153"/>
    </row>
    <row r="17" spans="2:27">
      <c r="B17" s="151"/>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3"/>
    </row>
    <row r="18" spans="2:27">
      <c r="B18" s="151"/>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3"/>
    </row>
    <row r="19" spans="2:27">
      <c r="B19" s="151"/>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3"/>
    </row>
    <row r="20" spans="2:27">
      <c r="B20" s="151"/>
      <c r="C20" s="152"/>
      <c r="D20" s="152"/>
      <c r="E20" s="152"/>
      <c r="F20" s="152"/>
      <c r="G20" s="152"/>
      <c r="H20" s="152"/>
      <c r="I20" s="152"/>
      <c r="J20" s="152"/>
      <c r="K20" s="152"/>
      <c r="L20" s="152"/>
      <c r="M20" s="152"/>
      <c r="N20" s="152"/>
      <c r="O20" s="152"/>
      <c r="P20" s="152"/>
      <c r="Q20" s="152"/>
      <c r="R20" s="152"/>
      <c r="S20" s="152"/>
      <c r="T20" s="152"/>
      <c r="U20" s="152"/>
      <c r="V20" s="152"/>
      <c r="W20" s="152"/>
      <c r="X20" s="152"/>
      <c r="Y20" s="152"/>
      <c r="Z20" s="152"/>
      <c r="AA20" s="153"/>
    </row>
    <row r="21" spans="2:27">
      <c r="B21" s="151"/>
      <c r="C21" s="152"/>
      <c r="D21" s="152"/>
      <c r="E21" s="152"/>
      <c r="F21" s="152"/>
      <c r="G21" s="152"/>
      <c r="H21" s="152"/>
      <c r="I21" s="152"/>
      <c r="J21" s="152"/>
      <c r="K21" s="152"/>
      <c r="L21" s="152"/>
      <c r="M21" s="152"/>
      <c r="N21" s="152"/>
      <c r="O21" s="152"/>
      <c r="P21" s="152"/>
      <c r="Q21" s="152"/>
      <c r="R21" s="152"/>
      <c r="S21" s="152"/>
      <c r="T21" s="152"/>
      <c r="U21" s="152"/>
      <c r="V21" s="152"/>
      <c r="W21" s="152"/>
      <c r="X21" s="152"/>
      <c r="Y21" s="152"/>
      <c r="Z21" s="152"/>
      <c r="AA21" s="153"/>
    </row>
    <row r="22" spans="2:27">
      <c r="B22" s="151"/>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c r="AA22" s="153"/>
    </row>
    <row r="23" spans="2:27">
      <c r="B23" s="151"/>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c r="AA23" s="153"/>
    </row>
    <row r="24" spans="2:27">
      <c r="B24" s="151"/>
      <c r="C24" s="152"/>
      <c r="D24" s="152"/>
      <c r="E24" s="152"/>
      <c r="F24" s="152"/>
      <c r="G24" s="152"/>
      <c r="H24" s="152"/>
      <c r="I24" s="152"/>
      <c r="J24" s="152"/>
      <c r="K24" s="152"/>
      <c r="L24" s="152"/>
      <c r="M24" s="152"/>
      <c r="N24" s="152"/>
      <c r="O24" s="152"/>
      <c r="P24" s="152"/>
      <c r="Q24" s="152"/>
      <c r="R24" s="152"/>
      <c r="S24" s="152"/>
      <c r="T24" s="152"/>
      <c r="U24" s="152"/>
      <c r="V24" s="152"/>
      <c r="W24" s="152"/>
      <c r="X24" s="152"/>
      <c r="Y24" s="152"/>
      <c r="Z24" s="152"/>
      <c r="AA24" s="153"/>
    </row>
    <row r="25" spans="2:27">
      <c r="B25" s="151"/>
      <c r="C25" s="152"/>
      <c r="D25" s="152"/>
      <c r="E25" s="152"/>
      <c r="F25" s="152"/>
      <c r="G25" s="152"/>
      <c r="H25" s="152"/>
      <c r="I25" s="152"/>
      <c r="J25" s="152"/>
      <c r="K25" s="152"/>
      <c r="L25" s="152"/>
      <c r="M25" s="152"/>
      <c r="N25" s="152"/>
      <c r="O25" s="152"/>
      <c r="P25" s="152"/>
      <c r="Q25" s="152"/>
      <c r="R25" s="152"/>
      <c r="S25" s="152"/>
      <c r="T25" s="152"/>
      <c r="U25" s="152"/>
      <c r="V25" s="152"/>
      <c r="W25" s="152"/>
      <c r="X25" s="152"/>
      <c r="Y25" s="152"/>
      <c r="Z25" s="152"/>
      <c r="AA25" s="153"/>
    </row>
    <row r="26" spans="2:27">
      <c r="B26" s="151"/>
      <c r="C26" s="152"/>
      <c r="D26" s="152"/>
      <c r="E26" s="152"/>
      <c r="F26" s="152"/>
      <c r="G26" s="152"/>
      <c r="H26" s="152"/>
      <c r="I26" s="152"/>
      <c r="J26" s="152"/>
      <c r="K26" s="152"/>
      <c r="L26" s="152"/>
      <c r="M26" s="152"/>
      <c r="N26" s="152"/>
      <c r="O26" s="152"/>
      <c r="P26" s="152"/>
      <c r="Q26" s="152"/>
      <c r="R26" s="152"/>
      <c r="S26" s="152"/>
      <c r="T26" s="152"/>
      <c r="U26" s="152"/>
      <c r="V26" s="152"/>
      <c r="W26" s="152"/>
      <c r="X26" s="152"/>
      <c r="Y26" s="152"/>
      <c r="Z26" s="152"/>
      <c r="AA26" s="153"/>
    </row>
    <row r="27" spans="2:27">
      <c r="B27" s="151"/>
      <c r="C27" s="152"/>
      <c r="D27" s="152"/>
      <c r="E27" s="152"/>
      <c r="F27" s="152"/>
      <c r="G27" s="152"/>
      <c r="H27" s="152"/>
      <c r="I27" s="152"/>
      <c r="J27" s="152"/>
      <c r="K27" s="152"/>
      <c r="L27" s="152"/>
      <c r="M27" s="152"/>
      <c r="N27" s="152"/>
      <c r="O27" s="152"/>
      <c r="P27" s="152"/>
      <c r="Q27" s="152"/>
      <c r="R27" s="152"/>
      <c r="S27" s="152"/>
      <c r="T27" s="152"/>
      <c r="U27" s="152"/>
      <c r="V27" s="152"/>
      <c r="W27" s="152"/>
      <c r="X27" s="152"/>
      <c r="Y27" s="152"/>
      <c r="Z27" s="152"/>
      <c r="AA27" s="153"/>
    </row>
    <row r="28" spans="2:27">
      <c r="B28" s="151"/>
      <c r="C28" s="152"/>
      <c r="D28" s="152"/>
      <c r="E28" s="152"/>
      <c r="F28" s="152"/>
      <c r="G28" s="152"/>
      <c r="H28" s="152"/>
      <c r="I28" s="152"/>
      <c r="J28" s="152"/>
      <c r="K28" s="152"/>
      <c r="L28" s="152"/>
      <c r="M28" s="152"/>
      <c r="N28" s="152"/>
      <c r="O28" s="152"/>
      <c r="P28" s="152"/>
      <c r="Q28" s="152"/>
      <c r="R28" s="152"/>
      <c r="S28" s="152"/>
      <c r="T28" s="152"/>
      <c r="U28" s="152"/>
      <c r="V28" s="152"/>
      <c r="W28" s="152"/>
      <c r="X28" s="152"/>
      <c r="Y28" s="152"/>
      <c r="Z28" s="152"/>
      <c r="AA28" s="153"/>
    </row>
    <row r="29" spans="2:27">
      <c r="B29" s="151"/>
      <c r="C29" s="152"/>
      <c r="D29" s="152"/>
      <c r="E29" s="152"/>
      <c r="F29" s="152"/>
      <c r="G29" s="152"/>
      <c r="H29" s="152"/>
      <c r="I29" s="152"/>
      <c r="J29" s="152"/>
      <c r="K29" s="152"/>
      <c r="L29" s="152"/>
      <c r="M29" s="152"/>
      <c r="N29" s="152"/>
      <c r="O29" s="152"/>
      <c r="P29" s="152"/>
      <c r="Q29" s="152"/>
      <c r="R29" s="152"/>
      <c r="S29" s="152"/>
      <c r="T29" s="152"/>
      <c r="U29" s="152"/>
      <c r="V29" s="152"/>
      <c r="W29" s="152"/>
      <c r="X29" s="152"/>
      <c r="Y29" s="152"/>
      <c r="Z29" s="152"/>
      <c r="AA29" s="153"/>
    </row>
    <row r="30" spans="2:27">
      <c r="B30" s="151"/>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c r="AA30" s="153"/>
    </row>
    <row r="31" spans="2:27">
      <c r="B31" s="151"/>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c r="AA31" s="153"/>
    </row>
    <row r="32" spans="2:27">
      <c r="B32" s="151"/>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c r="AA32" s="153"/>
    </row>
    <row r="33" spans="2:27">
      <c r="B33" s="151"/>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c r="AA33" s="153"/>
    </row>
    <row r="34" spans="2:27">
      <c r="B34" s="151"/>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c r="AA34" s="153"/>
    </row>
    <row r="35" spans="2:27">
      <c r="B35" s="151"/>
      <c r="C35" s="152"/>
      <c r="D35" s="152"/>
      <c r="E35" s="152"/>
      <c r="F35" s="152"/>
      <c r="G35" s="152"/>
      <c r="H35" s="152"/>
      <c r="I35" s="152"/>
      <c r="J35" s="152"/>
      <c r="K35" s="152"/>
      <c r="L35" s="152"/>
      <c r="M35" s="152"/>
      <c r="N35" s="152"/>
      <c r="O35" s="152"/>
      <c r="P35" s="152"/>
      <c r="Q35" s="152"/>
      <c r="R35" s="152"/>
      <c r="S35" s="152"/>
      <c r="T35" s="152"/>
      <c r="U35" s="152"/>
      <c r="V35" s="152"/>
      <c r="W35" s="152"/>
      <c r="X35" s="152"/>
      <c r="Y35" s="152"/>
      <c r="Z35" s="152"/>
      <c r="AA35" s="153"/>
    </row>
    <row r="36" spans="2:27">
      <c r="B36" s="151"/>
      <c r="C36" s="152"/>
      <c r="D36" s="152"/>
      <c r="E36" s="152"/>
      <c r="F36" s="152"/>
      <c r="G36" s="152"/>
      <c r="H36" s="152"/>
      <c r="I36" s="152"/>
      <c r="J36" s="152"/>
      <c r="K36" s="152"/>
      <c r="L36" s="152"/>
      <c r="M36" s="152"/>
      <c r="N36" s="152"/>
      <c r="O36" s="152"/>
      <c r="P36" s="152"/>
      <c r="Q36" s="152"/>
      <c r="R36" s="152"/>
      <c r="S36" s="152"/>
      <c r="T36" s="152"/>
      <c r="U36" s="152"/>
      <c r="V36" s="152"/>
      <c r="W36" s="152"/>
      <c r="X36" s="152"/>
      <c r="Y36" s="152"/>
      <c r="Z36" s="152"/>
      <c r="AA36" s="153"/>
    </row>
    <row r="37" spans="2:27">
      <c r="B37" s="151"/>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c r="AA37" s="153"/>
    </row>
    <row r="38" spans="2:27">
      <c r="B38" s="151"/>
      <c r="C38" s="152"/>
      <c r="D38" s="152"/>
      <c r="E38" s="152"/>
      <c r="F38" s="152"/>
      <c r="G38" s="152"/>
      <c r="H38" s="152"/>
      <c r="I38" s="152"/>
      <c r="J38" s="152"/>
      <c r="K38" s="152"/>
      <c r="L38" s="152"/>
      <c r="M38" s="152"/>
      <c r="N38" s="152"/>
      <c r="O38" s="152"/>
      <c r="P38" s="152"/>
      <c r="Q38" s="152"/>
      <c r="R38" s="152"/>
      <c r="S38" s="152"/>
      <c r="T38" s="152"/>
      <c r="U38" s="152"/>
      <c r="V38" s="152"/>
      <c r="W38" s="152"/>
      <c r="X38" s="152"/>
      <c r="Y38" s="152"/>
      <c r="Z38" s="152"/>
      <c r="AA38" s="153"/>
    </row>
    <row r="39" spans="2:27">
      <c r="B39" s="151"/>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c r="AA39" s="153"/>
    </row>
    <row r="40" spans="2:27">
      <c r="B40" s="151"/>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c r="AA40" s="153"/>
    </row>
    <row r="41" spans="2:27">
      <c r="B41" s="151"/>
      <c r="C41" s="152"/>
      <c r="D41" s="152"/>
      <c r="E41" s="152"/>
      <c r="F41" s="152"/>
      <c r="G41" s="152"/>
      <c r="H41" s="152"/>
      <c r="I41" s="152"/>
      <c r="J41" s="152"/>
      <c r="K41" s="152"/>
      <c r="L41" s="152"/>
      <c r="M41" s="152"/>
      <c r="N41" s="152"/>
      <c r="O41" s="152"/>
      <c r="P41" s="152"/>
      <c r="Q41" s="152"/>
      <c r="R41" s="152"/>
      <c r="S41" s="152"/>
      <c r="T41" s="152"/>
      <c r="U41" s="152"/>
      <c r="V41" s="152"/>
      <c r="W41" s="152"/>
      <c r="X41" s="152"/>
      <c r="Y41" s="152"/>
      <c r="Z41" s="152"/>
      <c r="AA41" s="153"/>
    </row>
    <row r="42" spans="2:27">
      <c r="B42" s="151"/>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c r="AA42" s="153"/>
    </row>
    <row r="43" spans="2:27">
      <c r="B43" s="151"/>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c r="AA43" s="153"/>
    </row>
    <row r="44" spans="2:27">
      <c r="B44" s="151"/>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c r="AA44" s="153"/>
    </row>
    <row r="45" spans="2:27">
      <c r="B45" s="151"/>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c r="AA45" s="153"/>
    </row>
    <row r="46" spans="2:27">
      <c r="B46" s="151"/>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3"/>
    </row>
    <row r="47" spans="2:27">
      <c r="B47" s="151"/>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c r="AA47" s="153"/>
    </row>
    <row r="48" spans="2:27">
      <c r="B48" s="151"/>
      <c r="C48" s="152"/>
      <c r="D48" s="152"/>
      <c r="E48" s="152"/>
      <c r="F48" s="152"/>
      <c r="G48" s="152"/>
      <c r="H48" s="152"/>
      <c r="I48" s="152"/>
      <c r="J48" s="152"/>
      <c r="K48" s="152"/>
      <c r="L48" s="152"/>
      <c r="M48" s="152"/>
      <c r="N48" s="152"/>
      <c r="O48" s="152"/>
      <c r="P48" s="152"/>
      <c r="Q48" s="152"/>
      <c r="R48" s="152"/>
      <c r="S48" s="152"/>
      <c r="T48" s="152"/>
      <c r="U48" s="152"/>
      <c r="V48" s="152"/>
      <c r="W48" s="152"/>
      <c r="X48" s="152"/>
      <c r="Y48" s="152"/>
      <c r="Z48" s="152"/>
      <c r="AA48" s="153"/>
    </row>
    <row r="49" spans="2:27">
      <c r="B49" s="151"/>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c r="AA49" s="153"/>
    </row>
    <row r="50" spans="2:27">
      <c r="B50" s="151"/>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3"/>
    </row>
    <row r="51" spans="2:27">
      <c r="B51" s="151"/>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3"/>
    </row>
    <row r="52" spans="2:27">
      <c r="B52" s="151"/>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3"/>
    </row>
    <row r="53" spans="2:27">
      <c r="B53" s="151"/>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c r="AA53" s="153"/>
    </row>
    <row r="54" spans="2:27">
      <c r="B54" s="151"/>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3"/>
    </row>
    <row r="55" spans="2:27">
      <c r="B55" s="151"/>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3"/>
    </row>
    <row r="56" spans="2:27">
      <c r="B56" s="151"/>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3"/>
    </row>
    <row r="57" spans="2:27">
      <c r="B57" s="151"/>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153"/>
    </row>
    <row r="58" spans="2:27">
      <c r="B58" s="151"/>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c r="AA58" s="153"/>
    </row>
    <row r="59" spans="2:27">
      <c r="B59" s="151"/>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c r="AA59" s="153"/>
    </row>
    <row r="60" spans="2:27">
      <c r="B60" s="151"/>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c r="AA60" s="153"/>
    </row>
    <row r="61" spans="2:27">
      <c r="B61" s="151"/>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c r="AA61" s="153"/>
    </row>
    <row r="62" spans="2:27">
      <c r="B62" s="151"/>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3"/>
    </row>
    <row r="63" spans="2:27">
      <c r="B63" s="151"/>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c r="AA63" s="153"/>
    </row>
    <row r="64" spans="2:27">
      <c r="B64" s="151"/>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c r="AA64" s="153"/>
    </row>
    <row r="65" spans="2:27">
      <c r="B65" s="151"/>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3"/>
    </row>
    <row r="66" spans="2:27">
      <c r="B66" s="151"/>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3"/>
    </row>
    <row r="67" spans="2:27">
      <c r="B67" s="151"/>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c r="AA67" s="153"/>
    </row>
    <row r="68" spans="2:27">
      <c r="B68" s="151"/>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c r="AA68" s="153"/>
    </row>
    <row r="69" spans="2:27">
      <c r="B69" s="151"/>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c r="AA69" s="153"/>
    </row>
    <row r="70" spans="2:27">
      <c r="B70" s="151"/>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c r="AA70" s="153"/>
    </row>
    <row r="71" spans="2:27">
      <c r="B71" s="151"/>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c r="AA71" s="153"/>
    </row>
    <row r="72" spans="2:27">
      <c r="B72" s="151"/>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c r="AA72" s="153"/>
    </row>
    <row r="73" spans="2:27">
      <c r="B73" s="151"/>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3"/>
    </row>
    <row r="74" spans="2:27">
      <c r="B74" s="151"/>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c r="AA74" s="153"/>
    </row>
    <row r="75" spans="2:27">
      <c r="B75" s="151"/>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c r="AA75" s="153"/>
    </row>
    <row r="76" spans="2:27">
      <c r="B76" s="151"/>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3"/>
    </row>
    <row r="77" spans="2:27">
      <c r="B77" s="151"/>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3"/>
    </row>
    <row r="78" spans="2:27">
      <c r="B78" s="151"/>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c r="AA78" s="153"/>
    </row>
    <row r="79" spans="2:27">
      <c r="B79" s="151"/>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c r="AA79" s="153"/>
    </row>
    <row r="80" spans="2:27">
      <c r="B80" s="151"/>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c r="AA80" s="153"/>
    </row>
    <row r="81" spans="2:27">
      <c r="B81" s="151"/>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3"/>
    </row>
    <row r="82" spans="2:27">
      <c r="B82" s="151"/>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c r="AA82" s="153"/>
    </row>
    <row r="83" spans="2:27">
      <c r="B83" s="151"/>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c r="AA83" s="153"/>
    </row>
    <row r="84" spans="2:27">
      <c r="B84" s="151"/>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c r="AA84" s="153"/>
    </row>
    <row r="85" spans="2:27">
      <c r="B85" s="151"/>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c r="AA85" s="153"/>
    </row>
    <row r="86" spans="2:27">
      <c r="B86" s="151"/>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c r="AA86" s="153"/>
    </row>
    <row r="87" spans="2:27">
      <c r="B87" s="151"/>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3"/>
    </row>
    <row r="88" spans="2:27">
      <c r="B88" s="151"/>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c r="AA88" s="153"/>
    </row>
    <row r="89" spans="2:27">
      <c r="B89" s="151"/>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3"/>
    </row>
    <row r="90" spans="2:27">
      <c r="B90" s="151"/>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3"/>
    </row>
    <row r="91" spans="2:27" ht="13.5" thickBot="1">
      <c r="B91" s="154"/>
      <c r="C91" s="155"/>
      <c r="D91" s="155"/>
      <c r="E91" s="155"/>
      <c r="F91" s="155"/>
      <c r="G91" s="155"/>
      <c r="H91" s="155"/>
      <c r="I91" s="155"/>
      <c r="J91" s="155"/>
      <c r="K91" s="155"/>
      <c r="L91" s="155"/>
      <c r="M91" s="155"/>
      <c r="N91" s="155"/>
      <c r="O91" s="155"/>
      <c r="P91" s="155"/>
      <c r="Q91" s="155"/>
      <c r="R91" s="155"/>
      <c r="S91" s="155"/>
      <c r="T91" s="155"/>
      <c r="U91" s="155"/>
      <c r="V91" s="155"/>
      <c r="W91" s="155"/>
      <c r="X91" s="155"/>
      <c r="Y91" s="155"/>
      <c r="Z91" s="155"/>
      <c r="AA91" s="156"/>
    </row>
  </sheetData>
  <mergeCells count="1">
    <mergeCell ref="B2:AA9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BE120-CAA9-45A1-B579-68E8EEA1F4A7}">
  <dimension ref="A1"/>
  <sheetViews>
    <sheetView workbookViewId="0"/>
  </sheetViews>
  <sheetFormatPr defaultColWidth="8.85546875" defaultRowHeight="12.75"/>
  <cols>
    <col min="1" max="16384" width="8.85546875" style="29"/>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E44A6-D353-4746-857D-F00B3A091644}">
  <dimension ref="B2:J23"/>
  <sheetViews>
    <sheetView tabSelected="1" workbookViewId="0">
      <selection activeCell="E30" sqref="E30"/>
    </sheetView>
  </sheetViews>
  <sheetFormatPr defaultRowHeight="12.75"/>
  <cols>
    <col min="2" max="2" width="25.7109375" bestFit="1" customWidth="1"/>
    <col min="3" max="3" width="9.7109375" bestFit="1" customWidth="1"/>
    <col min="4" max="4" width="5.42578125" bestFit="1" customWidth="1"/>
    <col min="5" max="5" width="18.85546875" bestFit="1" customWidth="1"/>
    <col min="7" max="7" width="16.7109375" bestFit="1" customWidth="1"/>
    <col min="8" max="8" width="19.42578125" bestFit="1" customWidth="1"/>
    <col min="9" max="9" width="26" bestFit="1" customWidth="1"/>
  </cols>
  <sheetData>
    <row r="2" spans="2:10">
      <c r="B2" t="s">
        <v>208</v>
      </c>
      <c r="C2" s="130" t="s">
        <v>209</v>
      </c>
      <c r="D2" s="130" t="s">
        <v>210</v>
      </c>
      <c r="E2" s="130" t="s">
        <v>244</v>
      </c>
      <c r="F2" s="130" t="s">
        <v>212</v>
      </c>
      <c r="G2" s="130" t="s">
        <v>213</v>
      </c>
      <c r="H2" s="130" t="s">
        <v>214</v>
      </c>
      <c r="I2" s="130" t="s">
        <v>215</v>
      </c>
      <c r="J2" s="130" t="s">
        <v>216</v>
      </c>
    </row>
    <row r="3" spans="2:10">
      <c r="B3" t="s">
        <v>217</v>
      </c>
      <c r="C3" t="s">
        <v>126</v>
      </c>
      <c r="D3" t="s">
        <v>218</v>
      </c>
      <c r="E3">
        <v>10</v>
      </c>
      <c r="F3" t="s">
        <v>219</v>
      </c>
      <c r="G3">
        <v>25</v>
      </c>
      <c r="H3" t="s">
        <v>86</v>
      </c>
      <c r="I3" t="s">
        <v>220</v>
      </c>
      <c r="J3">
        <v>640</v>
      </c>
    </row>
    <row r="4" spans="2:10">
      <c r="B4" t="s">
        <v>221</v>
      </c>
      <c r="C4" t="s">
        <v>126</v>
      </c>
      <c r="D4" t="s">
        <v>222</v>
      </c>
      <c r="G4" t="s">
        <v>223</v>
      </c>
      <c r="H4" t="s">
        <v>224</v>
      </c>
      <c r="I4" t="s">
        <v>220</v>
      </c>
      <c r="J4">
        <v>660</v>
      </c>
    </row>
    <row r="5" spans="2:10">
      <c r="B5" t="s">
        <v>225</v>
      </c>
    </row>
    <row r="8" spans="2:10">
      <c r="B8" t="s">
        <v>226</v>
      </c>
      <c r="C8" s="130" t="s">
        <v>209</v>
      </c>
      <c r="D8" s="130" t="s">
        <v>210</v>
      </c>
      <c r="E8" s="130" t="s">
        <v>211</v>
      </c>
      <c r="F8" s="130" t="s">
        <v>212</v>
      </c>
      <c r="G8" s="130" t="s">
        <v>213</v>
      </c>
      <c r="H8" s="130" t="s">
        <v>214</v>
      </c>
      <c r="I8" s="130" t="s">
        <v>215</v>
      </c>
      <c r="J8" s="130" t="s">
        <v>216</v>
      </c>
    </row>
    <row r="9" spans="2:10">
      <c r="B9" t="s">
        <v>217</v>
      </c>
      <c r="C9" s="159" t="s">
        <v>227</v>
      </c>
      <c r="D9" t="s">
        <v>218</v>
      </c>
      <c r="E9">
        <v>10</v>
      </c>
      <c r="F9" t="s">
        <v>219</v>
      </c>
      <c r="G9">
        <v>25</v>
      </c>
      <c r="H9" t="s">
        <v>86</v>
      </c>
      <c r="I9" t="s">
        <v>228</v>
      </c>
      <c r="J9">
        <v>21</v>
      </c>
    </row>
    <row r="10" spans="2:10">
      <c r="B10" t="s">
        <v>221</v>
      </c>
      <c r="C10" s="159" t="s">
        <v>229</v>
      </c>
      <c r="D10" t="s">
        <v>218</v>
      </c>
      <c r="E10">
        <v>10</v>
      </c>
      <c r="F10" t="s">
        <v>219</v>
      </c>
      <c r="G10">
        <v>25</v>
      </c>
      <c r="H10" t="s">
        <v>86</v>
      </c>
      <c r="I10" t="s">
        <v>228</v>
      </c>
      <c r="J10">
        <v>6</v>
      </c>
    </row>
    <row r="11" spans="2:10">
      <c r="B11" t="s">
        <v>225</v>
      </c>
      <c r="C11" s="159" t="s">
        <v>230</v>
      </c>
      <c r="D11" t="s">
        <v>218</v>
      </c>
      <c r="E11">
        <v>10</v>
      </c>
      <c r="F11" t="s">
        <v>219</v>
      </c>
      <c r="G11">
        <v>25</v>
      </c>
      <c r="H11" t="s">
        <v>86</v>
      </c>
      <c r="I11" t="s">
        <v>228</v>
      </c>
      <c r="J11">
        <v>5</v>
      </c>
    </row>
    <row r="12" spans="2:10">
      <c r="C12" s="159" t="s">
        <v>231</v>
      </c>
      <c r="D12" t="s">
        <v>218</v>
      </c>
      <c r="E12">
        <v>10</v>
      </c>
      <c r="F12" t="s">
        <v>219</v>
      </c>
      <c r="G12">
        <v>25</v>
      </c>
      <c r="H12" t="s">
        <v>86</v>
      </c>
      <c r="I12" t="s">
        <v>228</v>
      </c>
      <c r="J12">
        <v>3</v>
      </c>
    </row>
    <row r="13" spans="2:10">
      <c r="C13" s="159" t="s">
        <v>232</v>
      </c>
      <c r="D13" t="s">
        <v>218</v>
      </c>
      <c r="E13">
        <v>6</v>
      </c>
      <c r="F13" t="s">
        <v>219</v>
      </c>
      <c r="G13">
        <v>25</v>
      </c>
      <c r="H13" t="s">
        <v>86</v>
      </c>
      <c r="I13" t="s">
        <v>233</v>
      </c>
      <c r="J13">
        <v>3</v>
      </c>
    </row>
    <row r="14" spans="2:10">
      <c r="C14" s="159" t="s">
        <v>234</v>
      </c>
      <c r="D14" t="s">
        <v>218</v>
      </c>
      <c r="E14">
        <v>10</v>
      </c>
      <c r="F14" t="s">
        <v>219</v>
      </c>
      <c r="G14">
        <v>25</v>
      </c>
      <c r="H14" t="s">
        <v>86</v>
      </c>
      <c r="I14" t="s">
        <v>228</v>
      </c>
      <c r="J14">
        <v>2</v>
      </c>
    </row>
    <row r="15" spans="2:10">
      <c r="C15" s="159" t="s">
        <v>235</v>
      </c>
      <c r="D15" t="s">
        <v>218</v>
      </c>
      <c r="E15">
        <v>10</v>
      </c>
      <c r="F15" t="s">
        <v>219</v>
      </c>
      <c r="G15">
        <v>25</v>
      </c>
      <c r="H15" t="s">
        <v>86</v>
      </c>
      <c r="I15" t="s">
        <v>228</v>
      </c>
      <c r="J15">
        <v>2</v>
      </c>
    </row>
    <row r="16" spans="2:10">
      <c r="C16" s="159" t="s">
        <v>84</v>
      </c>
      <c r="D16" t="s">
        <v>218</v>
      </c>
      <c r="E16">
        <v>10</v>
      </c>
      <c r="F16" t="s">
        <v>219</v>
      </c>
      <c r="G16">
        <v>25</v>
      </c>
      <c r="H16" t="s">
        <v>86</v>
      </c>
      <c r="I16" t="s">
        <v>228</v>
      </c>
      <c r="J16">
        <v>2</v>
      </c>
    </row>
    <row r="17" spans="3:10">
      <c r="C17" s="159" t="s">
        <v>236</v>
      </c>
      <c r="D17" t="s">
        <v>218</v>
      </c>
      <c r="E17">
        <v>10</v>
      </c>
      <c r="F17" t="s">
        <v>219</v>
      </c>
      <c r="G17">
        <v>25</v>
      </c>
      <c r="H17" t="s">
        <v>86</v>
      </c>
      <c r="I17" t="s">
        <v>237</v>
      </c>
      <c r="J17">
        <v>2</v>
      </c>
    </row>
    <row r="18" spans="3:10">
      <c r="C18" s="159" t="s">
        <v>238</v>
      </c>
      <c r="D18" t="s">
        <v>218</v>
      </c>
      <c r="E18">
        <v>10</v>
      </c>
      <c r="F18" t="s">
        <v>219</v>
      </c>
      <c r="G18">
        <v>25</v>
      </c>
      <c r="H18" t="s">
        <v>86</v>
      </c>
      <c r="I18" t="s">
        <v>237</v>
      </c>
      <c r="J18">
        <v>2</v>
      </c>
    </row>
    <row r="19" spans="3:10">
      <c r="C19" s="159" t="s">
        <v>239</v>
      </c>
      <c r="D19" t="s">
        <v>218</v>
      </c>
      <c r="E19">
        <v>10</v>
      </c>
      <c r="F19" t="s">
        <v>219</v>
      </c>
      <c r="G19">
        <v>25</v>
      </c>
      <c r="H19" t="s">
        <v>86</v>
      </c>
      <c r="I19" t="s">
        <v>237</v>
      </c>
      <c r="J19">
        <v>2</v>
      </c>
    </row>
    <row r="20" spans="3:10">
      <c r="C20" s="159" t="s">
        <v>240</v>
      </c>
      <c r="D20" t="s">
        <v>218</v>
      </c>
      <c r="E20">
        <v>10</v>
      </c>
      <c r="F20" t="s">
        <v>219</v>
      </c>
      <c r="G20">
        <v>25</v>
      </c>
      <c r="H20" t="s">
        <v>86</v>
      </c>
      <c r="I20" t="s">
        <v>237</v>
      </c>
      <c r="J20">
        <v>1</v>
      </c>
    </row>
    <row r="21" spans="3:10">
      <c r="C21" s="159" t="s">
        <v>241</v>
      </c>
      <c r="D21" t="s">
        <v>218</v>
      </c>
      <c r="E21">
        <v>10</v>
      </c>
      <c r="F21" t="s">
        <v>219</v>
      </c>
      <c r="G21">
        <v>25</v>
      </c>
      <c r="H21" t="s">
        <v>86</v>
      </c>
      <c r="I21" t="s">
        <v>237</v>
      </c>
      <c r="J21">
        <v>1</v>
      </c>
    </row>
    <row r="22" spans="3:10">
      <c r="C22" s="159" t="s">
        <v>242</v>
      </c>
      <c r="D22" t="s">
        <v>218</v>
      </c>
      <c r="E22">
        <v>6</v>
      </c>
      <c r="F22" t="s">
        <v>219</v>
      </c>
      <c r="G22">
        <v>25</v>
      </c>
      <c r="H22" t="s">
        <v>86</v>
      </c>
      <c r="I22" t="s">
        <v>233</v>
      </c>
      <c r="J22">
        <v>1</v>
      </c>
    </row>
    <row r="23" spans="3:10">
      <c r="C23" s="159" t="s">
        <v>243</v>
      </c>
      <c r="D23" t="s">
        <v>218</v>
      </c>
      <c r="E23">
        <v>6</v>
      </c>
      <c r="F23" t="s">
        <v>219</v>
      </c>
      <c r="G23">
        <v>25</v>
      </c>
      <c r="H23" t="s">
        <v>86</v>
      </c>
      <c r="I23" t="s">
        <v>233</v>
      </c>
      <c r="J23">
        <v>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B4402905DC2B41A96A935431E71245" ma:contentTypeVersion="17" ma:contentTypeDescription="Create a new document." ma:contentTypeScope="" ma:versionID="b3fdad7bbf8e6071484935243ea558cc">
  <xsd:schema xmlns:xsd="http://www.w3.org/2001/XMLSchema" xmlns:xs="http://www.w3.org/2001/XMLSchema" xmlns:p="http://schemas.microsoft.com/office/2006/metadata/properties" xmlns:ns2="2a6771f9-182a-47a6-a820-faaea9c728f7" xmlns:ns3="0c32c1a5-e0eb-4347-990a-1c9580d9dde1" targetNamespace="http://schemas.microsoft.com/office/2006/metadata/properties" ma:root="true" ma:fieldsID="6d478f218f697b79fd14b26f5fa79019" ns2:_="" ns3:_="">
    <xsd:import namespace="2a6771f9-182a-47a6-a820-faaea9c728f7"/>
    <xsd:import namespace="0c32c1a5-e0eb-4347-990a-1c9580d9dd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6771f9-182a-47a6-a820-faaea9c728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a7d435f-bc0a-452e-b7b2-4cb57826a068"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32c1a5-e0eb-4347-990a-1c9580d9dde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bf55620-c62b-4be2-a745-a1be9ac4c8fa}" ma:internalName="TaxCatchAll" ma:showField="CatchAllData" ma:web="0c32c1a5-e0eb-4347-990a-1c9580d9dd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6771f9-182a-47a6-a820-faaea9c728f7">
      <Terms xmlns="http://schemas.microsoft.com/office/infopath/2007/PartnerControls"/>
    </lcf76f155ced4ddcb4097134ff3c332f>
    <TaxCatchAll xmlns="0c32c1a5-e0eb-4347-990a-1c9580d9dde1" xsi:nil="true"/>
  </documentManagement>
</p:properties>
</file>

<file path=customXml/itemProps1.xml><?xml version="1.0" encoding="utf-8"?>
<ds:datastoreItem xmlns:ds="http://schemas.openxmlformats.org/officeDocument/2006/customXml" ds:itemID="{92A69621-7FBF-4A44-ACD4-7D7D1131D4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6771f9-182a-47a6-a820-faaea9c728f7"/>
    <ds:schemaRef ds:uri="0c32c1a5-e0eb-4347-990a-1c9580d9dd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496A66-5445-4C0F-B6D2-075A7F6CA933}">
  <ds:schemaRefs>
    <ds:schemaRef ds:uri="http://schemas.microsoft.com/sharepoint/v3/contenttype/forms"/>
  </ds:schemaRefs>
</ds:datastoreItem>
</file>

<file path=customXml/itemProps3.xml><?xml version="1.0" encoding="utf-8"?>
<ds:datastoreItem xmlns:ds="http://schemas.openxmlformats.org/officeDocument/2006/customXml" ds:itemID="{BC3431C1-A77C-4280-AF90-E5B61D6984F4}">
  <ds:schemaRefs>
    <ds:schemaRef ds:uri="http://schemas.microsoft.com/office/infopath/2007/PartnerControls"/>
    <ds:schemaRef ds:uri="http://schemas.microsoft.com/office/2006/metadata/properties"/>
    <ds:schemaRef ds:uri="http://www.w3.org/XML/1998/namespace"/>
    <ds:schemaRef ds:uri="http://purl.org/dc/terms/"/>
    <ds:schemaRef ds:uri="http://purl.org/dc/dcmitype/"/>
    <ds:schemaRef ds:uri="2a6771f9-182a-47a6-a820-faaea9c728f7"/>
    <ds:schemaRef ds:uri="0c32c1a5-e0eb-4347-990a-1c9580d9dde1"/>
    <ds:schemaRef ds:uri="http://schemas.microsoft.com/office/2006/documentManagement/type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7</vt:i4>
      </vt:variant>
      <vt:variant>
        <vt:lpstr>Benoemde bereiken</vt:lpstr>
      </vt:variant>
      <vt:variant>
        <vt:i4>1</vt:i4>
      </vt:variant>
    </vt:vector>
  </HeadingPairs>
  <TitlesOfParts>
    <vt:vector size="8" baseType="lpstr">
      <vt:lpstr>Data</vt:lpstr>
      <vt:lpstr>Specs</vt:lpstr>
      <vt:lpstr>Delivery Best Practice</vt:lpstr>
      <vt:lpstr>Facebook Aspect Ratios</vt:lpstr>
      <vt:lpstr>Google AdTech disclaimer</vt:lpstr>
      <vt:lpstr>DOOH</vt:lpstr>
      <vt:lpstr>DOOH IMPACT</vt:lpstr>
      <vt:lpstr>Specs!Afdrukbereik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Universal Media</dc:creator>
  <cp:keywords/>
  <dc:description/>
  <cp:lastModifiedBy>Lisanne</cp:lastModifiedBy>
  <cp:revision/>
  <dcterms:created xsi:type="dcterms:W3CDTF">2006-01-10T12:57:18Z</dcterms:created>
  <dcterms:modified xsi:type="dcterms:W3CDTF">2023-08-08T10:23:09Z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eededCubes">
    <vt:lpwstr/>
  </property>
  <property fmtid="{D5CDD505-2E9C-101B-9397-08002B2CF9AE}" pid="3" name="ContentTypeId">
    <vt:lpwstr>0x01010058B4402905DC2B41A96A935431E71245</vt:lpwstr>
  </property>
  <property fmtid="{D5CDD505-2E9C-101B-9397-08002B2CF9AE}" pid="4" name="MediaServiceImageTags">
    <vt:lpwstr/>
  </property>
</Properties>
</file>